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91956\Music\"/>
    </mc:Choice>
  </mc:AlternateContent>
  <xr:revisionPtr revIDLastSave="0" documentId="13_ncr:1_{DD479B9A-5C38-45CE-8235-93F5B169CE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tions" sheetId="1" r:id="rId1"/>
    <sheet name="Dataset" sheetId="2" r:id="rId2"/>
    <sheet name="solution" sheetId="4" r:id="rId3"/>
    <sheet name="Cleaned dat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D2" i="4"/>
  <c r="E2" i="4"/>
  <c r="F2" i="4" s="1"/>
  <c r="G2" i="4"/>
  <c r="K2" i="4"/>
  <c r="B2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E3" i="4"/>
  <c r="F3" i="4" s="1"/>
  <c r="E4" i="4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E16" i="4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E28" i="4"/>
  <c r="F28" i="4" s="1"/>
  <c r="E29" i="4"/>
  <c r="F29" i="4" s="1"/>
  <c r="E30" i="4"/>
  <c r="F30" i="4" s="1"/>
  <c r="E31" i="4"/>
  <c r="F31" i="4" s="1"/>
  <c r="E32" i="4"/>
  <c r="F32" i="4" s="1"/>
  <c r="F4" i="4"/>
  <c r="F15" i="4"/>
  <c r="F16" i="4"/>
  <c r="F27" i="4"/>
  <c r="R14" i="4"/>
  <c r="R13" i="4"/>
  <c r="R8" i="4"/>
  <c r="K3" i="4"/>
  <c r="K23" i="4"/>
  <c r="K24" i="4"/>
  <c r="K25" i="4"/>
  <c r="K26" i="4"/>
  <c r="K27" i="4"/>
  <c r="K28" i="4"/>
  <c r="K29" i="4"/>
  <c r="K30" i="4"/>
  <c r="K31" i="4"/>
  <c r="K32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5" i="4"/>
  <c r="K6" i="4"/>
  <c r="K7" i="4"/>
  <c r="K4" i="4"/>
</calcChain>
</file>

<file path=xl/sharedStrings.xml><?xml version="1.0" encoding="utf-8"?>
<sst xmlns="http://schemas.openxmlformats.org/spreadsheetml/2006/main" count="492" uniqueCount="192">
  <si>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</si>
  <si>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</si>
  <si>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</si>
  <si>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</si>
  <si>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</si>
  <si>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</si>
  <si>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</si>
  <si>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</si>
  <si>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</si>
  <si>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</si>
  <si>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</si>
  <si>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</si>
  <si>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</si>
  <si>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</si>
  <si>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</si>
  <si>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</si>
  <si>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</si>
  <si>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</si>
  <si>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</si>
  <si>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</si>
  <si>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</si>
  <si>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</si>
  <si>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</si>
  <si>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</si>
  <si>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</si>
  <si>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</si>
  <si>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</si>
  <si>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</si>
  <si>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</si>
  <si>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</si>
  <si>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</si>
  <si>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</si>
  <si>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</si>
  <si>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</si>
  <si>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</si>
  <si>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</si>
  <si>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</si>
  <si>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</si>
  <si>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</si>
  <si>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</si>
  <si>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</si>
  <si>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</si>
  <si>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</si>
  <si>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</si>
  <si>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</si>
  <si>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</si>
  <si>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</si>
  <si>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</si>
  <si>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</si>
  <si>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</si>
  <si>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</si>
  <si>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</si>
  <si>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</si>
  <si>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</si>
  <si>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</si>
  <si>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</si>
  <si>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</si>
  <si>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</si>
  <si>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</si>
  <si>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</si>
  <si>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</si>
  <si>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</si>
  <si>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</si>
  <si>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</si>
  <si>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</si>
  <si>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</si>
  <si>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</si>
  <si>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</si>
  <si>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</si>
  <si>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</si>
  <si>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</si>
  <si>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</si>
  <si>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</si>
  <si>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</si>
  <si>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</si>
  <si>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</si>
  <si>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</si>
  <si>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</si>
  <si>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</si>
  <si>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</si>
  <si>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</si>
  <si>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</si>
  <si>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</si>
  <si>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</si>
  <si>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</si>
  <si>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</si>
  <si>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</si>
  <si>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</si>
  <si>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</si>
  <si>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</si>
  <si>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</si>
  <si>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</si>
  <si>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</si>
  <si>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</si>
  <si>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</si>
  <si>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</si>
  <si>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</si>
  <si>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</si>
  <si>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</si>
  <si>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</si>
  <si>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</si>
  <si>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</si>
  <si>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</si>
  <si>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</si>
  <si>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</si>
  <si>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</si>
  <si>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</si>
  <si>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</si>
  <si>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</si>
  <si>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</si>
  <si>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</si>
  <si>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</si>
  <si>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</si>
  <si>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</si>
  <si>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</si>
  <si>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</si>
  <si>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</t>
  </si>
  <si>
    <t>Modified_Price</t>
  </si>
  <si>
    <t>• Check for missing values in the 'Price' column.
 How would you handle products with missing price 
information</t>
  </si>
  <si>
    <t xml:space="preserve"> Correcting Inconsistent Data:</t>
  </si>
  <si>
    <t>* Convert data type to text format</t>
  </si>
  <si>
    <t>product_Name(proper)</t>
  </si>
  <si>
    <t>product_Name(trim)</t>
  </si>
  <si>
    <t>Unknown</t>
  </si>
  <si>
    <t>Smart Phone</t>
  </si>
  <si>
    <t>Head Phones</t>
  </si>
  <si>
    <t>Smart Watch</t>
  </si>
  <si>
    <t>*Identify any typos present in the "Category" column.</t>
  </si>
  <si>
    <t>found "Electroni"</t>
  </si>
  <si>
    <t>* Use the find and replace function to standardize the 
text formats in the "Product Name" column and fix any 
typos or misspellings in the "Category" column.</t>
  </si>
  <si>
    <t>Removing Duplicates:</t>
  </si>
  <si>
    <t>No Duplicates Found</t>
  </si>
  <si>
    <t>Splitting and Merging Data</t>
  </si>
  <si>
    <t>Country Code</t>
  </si>
  <si>
    <t>Product Brand</t>
  </si>
  <si>
    <t>• Merge the "Brand Name" and "Product Name" columns
into one column named "Product Brand".</t>
  </si>
  <si>
    <t>Number Formatting:</t>
  </si>
  <si>
    <t xml:space="preserve">• Format the data type of the "Price" column to currency
 format. </t>
  </si>
  <si>
    <t xml:space="preserve">• Format the "Manufacturing Date" column to display 
dates in the "DD-MM-YYYY " format. </t>
  </si>
  <si>
    <t>Manufacturing_ Date</t>
  </si>
  <si>
    <t>Conditional Formatting:</t>
  </si>
  <si>
    <t>Apply data bar or color scales conditional formatting
 in the "Price" column.</t>
  </si>
  <si>
    <t>• Create a custom rule for conditional formatting in
 the "Category" column to highlight cells 
where the category is "Electronics."</t>
  </si>
  <si>
    <t xml:space="preserve">               *using conditional formatting to 
highlight  the cells with yellow colour</t>
  </si>
  <si>
    <t>Refer column J</t>
  </si>
  <si>
    <t xml:space="preserve">               *Replace missing value by using  IF,ISBLANK, AVERAGE Function</t>
  </si>
  <si>
    <t>Refer Column K</t>
  </si>
  <si>
    <t>*Trim function ()               Refer 'F' Column</t>
  </si>
  <si>
    <t>*Proper function()             Refer 'E' Column</t>
  </si>
  <si>
    <t>Refer Column"H","M"</t>
  </si>
  <si>
    <t>Refer Column "B" "D"</t>
  </si>
  <si>
    <t>Refer Column"G"</t>
  </si>
  <si>
    <t>Refer Column "K"</t>
  </si>
  <si>
    <t>Refer Column "C"</t>
  </si>
  <si>
    <t>Refer Column "k"</t>
  </si>
  <si>
    <t>Refer Column "M"</t>
  </si>
  <si>
    <t>REFERENCE</t>
  </si>
  <si>
    <t>Manufacturing Date (dd-mm-yy)</t>
  </si>
  <si>
    <t xml:space="preserve">Manufacturing Date </t>
  </si>
  <si>
    <t>Product Brand2</t>
  </si>
  <si>
    <t>Dell laptop</t>
  </si>
  <si>
    <t>Nike Sneakers</t>
  </si>
  <si>
    <t>Keurig Coffee Maker</t>
  </si>
  <si>
    <t>Samsung Smart Phone</t>
  </si>
  <si>
    <t>North Face Backpack</t>
  </si>
  <si>
    <t>Sony Head 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</si>
  <si>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</si>
  <si>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</si>
  <si>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</si>
  <si>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</si>
  <si>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</si>
  <si>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</si>
  <si>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</si>
  <si>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 Watch</t>
  </si>
  <si>
    <t>Bose Head Phones</t>
  </si>
  <si>
    <t>Samsonite Laptop Bag</t>
  </si>
  <si>
    <t>Huawei Smart 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</si>
  <si>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</si>
  <si>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</si>
  <si>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</si>
  <si>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</si>
  <si>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</si>
  <si>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</si>
  <si>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 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</si>
  <si>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</si>
  <si>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</si>
  <si>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</si>
  <si>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</si>
  <si>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</si>
  <si>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</si>
  <si>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</si>
  <si>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Modified
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</si>
</sst>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0F7FA"/>
      </patternFill>
    </fill>
    <fill>
      <patternFill patternType="solid">
        <fgColor rgb="FFFFC000"/>
        <bgColor rgb="FF4DD0E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4DD0E1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10" fillId="0" borderId="0" xfId="0" applyFont="1" applyAlignment="1"/>
    <xf numFmtId="0" fontId="11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3" fillId="0" borderId="0" xfId="0" applyFont="1"/>
    <xf numFmtId="0" fontId="5" fillId="4" borderId="1" xfId="0" applyNumberFormat="1" applyFont="1" applyFill="1" applyBorder="1" applyAlignment="1">
      <alignment vertical="center"/>
    </xf>
    <xf numFmtId="0" fontId="5" fillId="5" borderId="1" xfId="0" applyNumberFormat="1" applyFont="1" applyFill="1" applyBorder="1" applyAlignment="1">
      <alignment vertical="center"/>
    </xf>
    <xf numFmtId="0" fontId="0" fillId="0" borderId="0" xfId="0" applyNumberFormat="1" applyFont="1" applyAlignment="1"/>
    <xf numFmtId="49" fontId="5" fillId="4" borderId="1" xfId="0" applyNumberFormat="1" applyFont="1" applyFill="1" applyBorder="1" applyAlignment="1">
      <alignment vertical="center"/>
    </xf>
    <xf numFmtId="49" fontId="5" fillId="5" borderId="1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49" fontId="0" fillId="0" borderId="0" xfId="0" applyNumberFormat="1" applyFont="1" applyAlignment="1"/>
    <xf numFmtId="0" fontId="10" fillId="0" borderId="0" xfId="0" applyFont="1"/>
    <xf numFmtId="49" fontId="9" fillId="5" borderId="1" xfId="0" applyNumberFormat="1" applyFont="1" applyFill="1" applyBorder="1" applyAlignment="1">
      <alignment vertical="center"/>
    </xf>
    <xf numFmtId="0" fontId="13" fillId="0" borderId="0" xfId="0" applyFont="1" applyAlignment="1"/>
    <xf numFmtId="0" fontId="9" fillId="4" borderId="1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vertical="center"/>
    </xf>
    <xf numFmtId="14" fontId="0" fillId="0" borderId="0" xfId="0" applyNumberFormat="1" applyFont="1" applyAlignment="1"/>
    <xf numFmtId="0" fontId="0" fillId="0" borderId="1" xfId="0" applyFont="1" applyBorder="1" applyAlignment="1"/>
    <xf numFmtId="0" fontId="11" fillId="0" borderId="1" xfId="0" applyFont="1" applyBorder="1" applyAlignment="1"/>
    <xf numFmtId="164" fontId="5" fillId="4" borderId="1" xfId="0" applyNumberFormat="1" applyFont="1" applyFill="1" applyBorder="1" applyAlignment="1">
      <alignment vertical="center"/>
    </xf>
    <xf numFmtId="164" fontId="0" fillId="0" borderId="0" xfId="0" applyNumberFormat="1" applyFont="1" applyAlignment="1"/>
    <xf numFmtId="2" fontId="5" fillId="4" borderId="1" xfId="0" applyNumberFormat="1" applyFont="1" applyFill="1" applyBorder="1" applyAlignment="1">
      <alignment vertical="center"/>
    </xf>
    <xf numFmtId="2" fontId="5" fillId="5" borderId="1" xfId="0" applyNumberFormat="1" applyFont="1" applyFill="1" applyBorder="1" applyAlignment="1">
      <alignment vertical="center"/>
    </xf>
    <xf numFmtId="2" fontId="0" fillId="0" borderId="0" xfId="0" applyNumberFormat="1" applyFont="1" applyAlignment="1"/>
    <xf numFmtId="0" fontId="12" fillId="6" borderId="1" xfId="0" applyNumberFormat="1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/>
    <xf numFmtId="14" fontId="12" fillId="8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/>
    <xf numFmtId="164" fontId="0" fillId="0" borderId="1" xfId="0" applyNumberFormat="1" applyFont="1" applyBorder="1" applyAlignment="1"/>
    <xf numFmtId="2" fontId="0" fillId="0" borderId="1" xfId="0" applyNumberFormat="1" applyFont="1" applyBorder="1" applyAlignment="1"/>
    <xf numFmtId="14" fontId="0" fillId="0" borderId="1" xfId="0" applyNumberFormat="1" applyFont="1" applyBorder="1" applyAlignment="1"/>
    <xf numFmtId="14" fontId="9" fillId="8" borderId="1" xfId="0" applyNumberFormat="1" applyFont="1" applyFill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8" fillId="7" borderId="1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left" vertical="top"/>
    </xf>
    <xf numFmtId="0" fontId="8" fillId="7" borderId="4" xfId="0" applyFont="1" applyFill="1" applyBorder="1" applyAlignment="1">
      <alignment horizontal="left" vertical="top"/>
    </xf>
    <xf numFmtId="0" fontId="11" fillId="0" borderId="1" xfId="0" applyFont="1" applyBorder="1" applyAlignment="1"/>
    <xf numFmtId="0" fontId="0" fillId="0" borderId="1" xfId="0" applyFont="1" applyBorder="1" applyAlignment="1"/>
    <xf numFmtId="0" fontId="1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1" fillId="0" borderId="12" xfId="0" applyFont="1" applyBorder="1" applyAlignment="1">
      <alignment vertical="top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1" fillId="0" borderId="1" xfId="0" applyFont="1" applyBorder="1" applyAlignment="1">
      <alignment wrapText="1"/>
    </xf>
    <xf numFmtId="0" fontId="0" fillId="0" borderId="0" xfId="0" applyFont="1" applyAlignment="1">
      <alignment horizontal="left" vertical="top"/>
    </xf>
    <xf numFmtId="14" fontId="14" fillId="7" borderId="1" xfId="0" applyNumberFormat="1" applyFont="1" applyFill="1" applyBorder="1" applyAlignment="1"/>
    <xf numFmtId="0" fontId="9" fillId="4" borderId="18" xfId="0" applyNumberFormat="1" applyFont="1" applyFill="1" applyBorder="1" applyAlignment="1">
      <alignment vertical="center"/>
    </xf>
    <xf numFmtId="0" fontId="9" fillId="5" borderId="18" xfId="0" applyNumberFormat="1" applyFont="1" applyFill="1" applyBorder="1" applyAlignment="1">
      <alignment vertical="center"/>
    </xf>
    <xf numFmtId="0" fontId="5" fillId="5" borderId="18" xfId="0" applyNumberFormat="1" applyFont="1" applyFill="1" applyBorder="1" applyAlignment="1">
      <alignment vertical="center"/>
    </xf>
    <xf numFmtId="0" fontId="5" fillId="4" borderId="18" xfId="0" applyNumberFormat="1" applyFont="1" applyFill="1" applyBorder="1" applyAlignment="1">
      <alignment vertical="center"/>
    </xf>
    <xf numFmtId="49" fontId="9" fillId="4" borderId="19" xfId="0" applyNumberFormat="1" applyFont="1" applyFill="1" applyBorder="1" applyAlignment="1">
      <alignment vertical="center"/>
    </xf>
    <xf numFmtId="49" fontId="5" fillId="5" borderId="19" xfId="0" applyNumberFormat="1" applyFont="1" applyFill="1" applyBorder="1" applyAlignment="1">
      <alignment vertical="center"/>
    </xf>
    <xf numFmtId="49" fontId="5" fillId="4" borderId="19" xfId="0" applyNumberFormat="1" applyFont="1" applyFill="1" applyBorder="1" applyAlignment="1">
      <alignment vertical="center"/>
    </xf>
    <xf numFmtId="0" fontId="12" fillId="6" borderId="20" xfId="0" applyNumberFormat="1" applyFont="1" applyFill="1" applyBorder="1" applyAlignment="1">
      <alignment horizontal="center" vertical="center"/>
    </xf>
    <xf numFmtId="14" fontId="14" fillId="7" borderId="14" xfId="0" applyNumberFormat="1" applyFont="1" applyFill="1" applyBorder="1" applyAlignment="1"/>
    <xf numFmtId="49" fontId="12" fillId="6" borderId="14" xfId="0" applyNumberFormat="1" applyFont="1" applyFill="1" applyBorder="1" applyAlignment="1">
      <alignment horizontal="center" vertical="center"/>
    </xf>
    <xf numFmtId="49" fontId="12" fillId="6" borderId="14" xfId="0" applyNumberFormat="1" applyFont="1" applyFill="1" applyBorder="1" applyAlignment="1">
      <alignment horizontal="left" vertical="center"/>
    </xf>
    <xf numFmtId="49" fontId="7" fillId="6" borderId="14" xfId="0" applyNumberFormat="1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164" fontId="12" fillId="6" borderId="14" xfId="0" applyNumberFormat="1" applyFont="1" applyFill="1" applyBorder="1" applyAlignment="1">
      <alignment horizontal="center" vertical="center"/>
    </xf>
    <xf numFmtId="49" fontId="7" fillId="6" borderId="21" xfId="0" applyNumberFormat="1" applyFont="1" applyFill="1" applyBorder="1" applyAlignment="1">
      <alignment horizontal="center" vertical="center"/>
    </xf>
    <xf numFmtId="0" fontId="5" fillId="5" borderId="22" xfId="0" applyNumberFormat="1" applyFont="1" applyFill="1" applyBorder="1" applyAlignment="1">
      <alignment vertical="center"/>
    </xf>
    <xf numFmtId="14" fontId="9" fillId="8" borderId="13" xfId="0" applyNumberFormat="1" applyFont="1" applyFill="1" applyBorder="1" applyAlignment="1">
      <alignment horizontal="left" vertical="center"/>
    </xf>
    <xf numFmtId="49" fontId="5" fillId="4" borderId="13" xfId="0" applyNumberFormat="1" applyFont="1" applyFill="1" applyBorder="1" applyAlignment="1">
      <alignment vertical="center"/>
    </xf>
    <xf numFmtId="49" fontId="9" fillId="4" borderId="13" xfId="0" applyNumberFormat="1" applyFont="1" applyFill="1" applyBorder="1" applyAlignment="1">
      <alignment vertical="center"/>
    </xf>
    <xf numFmtId="49" fontId="5" fillId="5" borderId="13" xfId="0" applyNumberFormat="1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164" fontId="5" fillId="4" borderId="13" xfId="0" applyNumberFormat="1" applyFont="1" applyFill="1" applyBorder="1" applyAlignment="1">
      <alignment vertical="center"/>
    </xf>
    <xf numFmtId="49" fontId="5" fillId="5" borderId="23" xfId="0" applyNumberFormat="1" applyFont="1" applyFill="1" applyBorder="1" applyAlignment="1">
      <alignment vertical="center"/>
    </xf>
    <xf numFmtId="1" fontId="7" fillId="6" borderId="14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vertical="center"/>
    </xf>
    <xf numFmtId="1" fontId="5" fillId="5" borderId="1" xfId="0" applyNumberFormat="1" applyFont="1" applyFill="1" applyBorder="1" applyAlignment="1">
      <alignment vertical="center"/>
    </xf>
    <xf numFmtId="1" fontId="5" fillId="5" borderId="13" xfId="0" applyNumberFormat="1" applyFont="1" applyFill="1" applyBorder="1" applyAlignment="1">
      <alignment vertical="center"/>
    </xf>
    <xf numFmtId="1" fontId="0" fillId="0" borderId="0" xfId="0" applyNumberFormat="1" applyFont="1" applyAlignment="1"/>
    <xf numFmtId="14" fontId="0" fillId="4" borderId="1" xfId="0" applyNumberFormat="1" applyFont="1" applyFill="1" applyBorder="1" applyAlignment="1">
      <alignment horizontal="left" vertical="center"/>
    </xf>
    <xf numFmtId="49" fontId="12" fillId="6" borderId="1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theme="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"/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solid">
          <fgColor rgb="FF4DD0E1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FCF56-39A5-4E06-AFBB-6B24A31C39D0}" name="Table2" displayName="Table2" ref="A1:K32" totalsRowShown="0" headerRowBorderDxfId="18" tableBorderDxfId="19" totalsRowBorderDxfId="17">
  <autoFilter ref="A1:K32" xr:uid="{97EFCF56-39A5-4E06-AFBB-6B24A31C39D0}"/>
  <tableColumns count="11">
    <tableColumn id="1" xr3:uid="{81F597E2-995E-4329-8A14-03C58EBBCB61}" name="Product ID" dataDxfId="16"/>
    <tableColumn id="3" xr3:uid="{DC0BC368-C63D-47BC-B61B-427A49976E0A}" name="Manufacturing Date " dataDxfId="15"/>
    <tableColumn id="4" xr3:uid="{1DF665D3-71A4-422E-BB1D-55DAFE448679}" name="Country Code" dataDxfId="14">
      <calculatedColumnFormula>RIGHT(A2,2)</calculatedColumnFormula>
    </tableColumn>
    <tableColumn id="5" xr3:uid="{E661B34C-E116-41C4-A516-B0C04E3E7CB2}" name="Modified_x000a_product_Name" dataDxfId="13">
      <calculatedColumnFormula>PROPER(E2)</calculatedColumnFormula>
    </tableColumn>
    <tableColumn id="8" xr3:uid="{433BDBE5-9C2E-4536-A3A6-7CEB5F25363D}" name="Product Name" dataDxfId="12"/>
    <tableColumn id="9" xr3:uid="{739479C0-4A73-4C96-8DD6-FCB6B41EC575}" name="Brand Name" dataDxfId="11"/>
    <tableColumn id="14" xr3:uid="{930C5CAB-D13C-4637-86BD-CB0A9A19CB8A}" name="Product Brand2" dataDxfId="9"/>
    <tableColumn id="10" xr3:uid="{BF40564F-32E3-4D4F-BF43-DCA4D74E902B}" name="Price ($)" dataDxfId="8"/>
    <tableColumn id="11" xr3:uid="{843403EE-F824-42D9-BC9D-B18865E6B342}" name="Modified_Price" dataDxfId="1">
      <calculatedColumnFormula>IF(ISBLANK(H2),AVERAGE($H$2:$H$35),H2)</calculatedColumnFormula>
    </tableColumn>
    <tableColumn id="12" xr3:uid="{1E733148-0FC0-4BC8-9897-E365B4EA68FB}" name="Quantity" dataDxfId="0"/>
    <tableColumn id="13" xr3:uid="{202E9959-EB11-4733-9B86-88682BEF5525}" name="Category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2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12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18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26" t="s">
        <v>6</v>
      </c>
    </row>
    <row r="10" spans="1:11" ht="15.75" customHeight="1" x14ac:dyDescent="0.3">
      <c r="C10" s="26" t="s">
        <v>7</v>
      </c>
    </row>
    <row r="11" spans="1:11" ht="15.75" customHeight="1" x14ac:dyDescent="0.3">
      <c r="B11" s="4"/>
    </row>
    <row r="12" spans="1:11" ht="15.75" customHeight="1" x14ac:dyDescent="0.3">
      <c r="B12" s="18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8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12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12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28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12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12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28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12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12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K9" sqref="K9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5">
    <cfRule type="containsBlanks" priority="1">
      <formula>LEN(TRIM(D2))=0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3B9B-ED7F-4C11-959A-399F26B0301F}">
  <dimension ref="A1:S45"/>
  <sheetViews>
    <sheetView topLeftCell="B1" workbookViewId="0">
      <selection sqref="A1:M32"/>
    </sheetView>
  </sheetViews>
  <sheetFormatPr defaultColWidth="15.44140625" defaultRowHeight="13.2" x14ac:dyDescent="0.25"/>
  <cols>
    <col min="1" max="1" width="15.44140625" style="21"/>
    <col min="2" max="2" width="20" style="21" customWidth="1"/>
    <col min="3" max="3" width="26.88671875" style="31" customWidth="1"/>
    <col min="4" max="4" width="17.88671875" style="25" customWidth="1"/>
    <col min="5" max="6" width="23.88671875" style="25" customWidth="1"/>
    <col min="7" max="7" width="25.44140625" style="25" customWidth="1"/>
    <col min="9" max="9" width="15.44140625" style="25"/>
    <col min="11" max="11" width="15.44140625" style="35"/>
    <col min="12" max="12" width="15.44140625" style="38"/>
    <col min="18" max="18" width="17.5546875" customWidth="1"/>
  </cols>
  <sheetData>
    <row r="1" spans="1:19" ht="13.8" thickBot="1" x14ac:dyDescent="0.3">
      <c r="A1" s="39" t="s">
        <v>19</v>
      </c>
      <c r="B1" s="39" t="s">
        <v>139</v>
      </c>
      <c r="C1" s="85" t="s">
        <v>157</v>
      </c>
      <c r="D1" s="40" t="s">
        <v>133</v>
      </c>
      <c r="E1" s="41" t="s">
        <v>121</v>
      </c>
      <c r="F1" s="41" t="s">
        <v>122</v>
      </c>
      <c r="G1" s="41" t="s">
        <v>134</v>
      </c>
      <c r="H1" s="42" t="s">
        <v>20</v>
      </c>
      <c r="I1" s="42" t="s">
        <v>21</v>
      </c>
      <c r="J1" s="43" t="s">
        <v>22</v>
      </c>
      <c r="K1" s="44" t="s">
        <v>117</v>
      </c>
      <c r="L1" s="45" t="s">
        <v>23</v>
      </c>
      <c r="M1" s="42" t="s">
        <v>24</v>
      </c>
    </row>
    <row r="2" spans="1:19" ht="13.8" thickBot="1" x14ac:dyDescent="0.3">
      <c r="A2" s="29" t="s">
        <v>25</v>
      </c>
      <c r="B2" s="19" t="str">
        <f>LEFT(A2,LEN(A2)-3)</f>
        <v>28-JAN</v>
      </c>
      <c r="C2" s="53">
        <v>46050</v>
      </c>
      <c r="D2" s="22" t="str">
        <f>RIGHT(A2,2)</f>
        <v>US</v>
      </c>
      <c r="E2" s="22" t="str">
        <f t="shared" ref="E2:E32" si="0">PROPER(H2)</f>
        <v>Laptop</v>
      </c>
      <c r="F2" s="22" t="str">
        <f t="shared" ref="F2:F32" si="1">TRIM(E2)</f>
        <v>Laptop</v>
      </c>
      <c r="G2" s="24" t="str">
        <f>I2&amp; " " &amp;H2</f>
        <v>Dell laptop</v>
      </c>
      <c r="H2" s="22" t="s">
        <v>26</v>
      </c>
      <c r="I2" s="22" t="s">
        <v>27</v>
      </c>
      <c r="J2" s="14">
        <v>1000</v>
      </c>
      <c r="K2" s="34">
        <f t="shared" ref="K2:K32" si="2">IF(ISBLANK(J2),AVERAGE($J$2:$J$35),J2)</f>
        <v>1000</v>
      </c>
      <c r="L2" s="36">
        <v>30</v>
      </c>
      <c r="M2" s="24" t="s">
        <v>28</v>
      </c>
      <c r="P2" s="63" t="s">
        <v>116</v>
      </c>
      <c r="Q2" s="64"/>
    </row>
    <row r="3" spans="1:19" ht="13.8" thickBot="1" x14ac:dyDescent="0.3">
      <c r="A3" s="30" t="s">
        <v>29</v>
      </c>
      <c r="B3" s="19" t="str">
        <f t="shared" ref="B3:B32" si="3">LEFT(A3,LEN(A3)-3)</f>
        <v>15-FEB</v>
      </c>
      <c r="C3" s="52">
        <v>46068</v>
      </c>
      <c r="D3" s="22" t="str">
        <f t="shared" ref="D3:D32" si="4">RIGHT(A3,2)</f>
        <v>US</v>
      </c>
      <c r="E3" s="22" t="str">
        <f t="shared" si="0"/>
        <v>Sneakers</v>
      </c>
      <c r="F3" s="22" t="str">
        <f t="shared" si="1"/>
        <v>Sneakers</v>
      </c>
      <c r="G3" s="24" t="str">
        <f t="shared" ref="G3:G32" si="5">I3&amp; " " &amp;H3</f>
        <v>Nike Sneakers</v>
      </c>
      <c r="H3" s="23" t="s">
        <v>30</v>
      </c>
      <c r="I3" s="23" t="s">
        <v>31</v>
      </c>
      <c r="J3" s="15">
        <v>80</v>
      </c>
      <c r="K3" s="34">
        <f t="shared" si="2"/>
        <v>80</v>
      </c>
      <c r="L3" s="37">
        <v>15</v>
      </c>
      <c r="M3" s="23" t="s">
        <v>32</v>
      </c>
      <c r="R3" s="46" t="s">
        <v>156</v>
      </c>
    </row>
    <row r="4" spans="1:19" ht="13.2" customHeight="1" x14ac:dyDescent="0.25">
      <c r="A4" s="29" t="s">
        <v>33</v>
      </c>
      <c r="B4" s="19" t="str">
        <f t="shared" si="3"/>
        <v>03-MAR</v>
      </c>
      <c r="C4" s="52">
        <v>46084</v>
      </c>
      <c r="D4" s="22" t="str">
        <f t="shared" si="4"/>
        <v>US</v>
      </c>
      <c r="E4" s="22" t="str">
        <f t="shared" si="0"/>
        <v>Coffee Maker</v>
      </c>
      <c r="F4" s="22" t="str">
        <f t="shared" si="1"/>
        <v>Coffee Maker</v>
      </c>
      <c r="G4" s="24" t="str">
        <f t="shared" si="5"/>
        <v>Keurig Coffee Maker</v>
      </c>
      <c r="H4" s="22" t="s">
        <v>34</v>
      </c>
      <c r="I4" s="22" t="s">
        <v>35</v>
      </c>
      <c r="J4" s="14">
        <v>130</v>
      </c>
      <c r="K4" s="34">
        <f t="shared" si="2"/>
        <v>130</v>
      </c>
      <c r="L4" s="36">
        <v>40</v>
      </c>
      <c r="M4" s="22" t="s">
        <v>36</v>
      </c>
      <c r="O4" s="72" t="s">
        <v>118</v>
      </c>
      <c r="P4" s="73"/>
      <c r="Q4" s="74"/>
      <c r="R4" s="13"/>
      <c r="S4" s="16"/>
    </row>
    <row r="5" spans="1:19" x14ac:dyDescent="0.25">
      <c r="A5" s="30" t="s">
        <v>37</v>
      </c>
      <c r="B5" s="19" t="str">
        <f t="shared" si="3"/>
        <v>11-APR</v>
      </c>
      <c r="C5" s="52">
        <v>46123</v>
      </c>
      <c r="D5" s="22" t="str">
        <f t="shared" si="4"/>
        <v>US</v>
      </c>
      <c r="E5" s="22" t="str">
        <f t="shared" si="0"/>
        <v>Smart Phone</v>
      </c>
      <c r="F5" s="22" t="str">
        <f t="shared" si="1"/>
        <v>Smart Phone</v>
      </c>
      <c r="G5" s="24" t="str">
        <f t="shared" si="5"/>
        <v>Samsung Smart Phone</v>
      </c>
      <c r="H5" s="27" t="s">
        <v>124</v>
      </c>
      <c r="I5" s="23" t="s">
        <v>39</v>
      </c>
      <c r="J5" s="15">
        <v>900</v>
      </c>
      <c r="K5" s="34">
        <f t="shared" si="2"/>
        <v>900</v>
      </c>
      <c r="L5" s="37">
        <v>25</v>
      </c>
      <c r="M5" s="23" t="s">
        <v>28</v>
      </c>
      <c r="O5" s="75"/>
      <c r="P5" s="76"/>
      <c r="Q5" s="77"/>
      <c r="S5" s="17"/>
    </row>
    <row r="6" spans="1:19" x14ac:dyDescent="0.25">
      <c r="A6" s="29" t="s">
        <v>40</v>
      </c>
      <c r="B6" s="19" t="str">
        <f t="shared" si="3"/>
        <v>22-MAY</v>
      </c>
      <c r="C6" s="52">
        <v>46164</v>
      </c>
      <c r="D6" s="22" t="str">
        <f t="shared" si="4"/>
        <v>US</v>
      </c>
      <c r="E6" s="22" t="str">
        <f t="shared" si="0"/>
        <v>Backpack</v>
      </c>
      <c r="F6" s="22" t="str">
        <f t="shared" si="1"/>
        <v>Backpack</v>
      </c>
      <c r="G6" s="24" t="str">
        <f t="shared" si="5"/>
        <v>North Face Backpack</v>
      </c>
      <c r="H6" s="22" t="s">
        <v>41</v>
      </c>
      <c r="I6" s="22" t="s">
        <v>42</v>
      </c>
      <c r="J6" s="14">
        <v>70</v>
      </c>
      <c r="K6" s="34">
        <f t="shared" si="2"/>
        <v>70</v>
      </c>
      <c r="L6" s="36">
        <v>20</v>
      </c>
      <c r="M6" s="22" t="s">
        <v>123</v>
      </c>
      <c r="O6" s="54" t="s">
        <v>143</v>
      </c>
      <c r="P6" s="56"/>
      <c r="Q6" s="56"/>
      <c r="R6" s="69" t="s">
        <v>144</v>
      </c>
    </row>
    <row r="7" spans="1:19" x14ac:dyDescent="0.25">
      <c r="A7" s="20" t="s">
        <v>43</v>
      </c>
      <c r="B7" s="19" t="str">
        <f t="shared" si="3"/>
        <v>07-JUN</v>
      </c>
      <c r="C7" s="52">
        <v>46180</v>
      </c>
      <c r="D7" s="22" t="str">
        <f t="shared" si="4"/>
        <v>UK</v>
      </c>
      <c r="E7" s="22" t="str">
        <f t="shared" si="0"/>
        <v>Head Phones</v>
      </c>
      <c r="F7" s="22" t="str">
        <f t="shared" si="1"/>
        <v>Head Phones</v>
      </c>
      <c r="G7" s="24" t="str">
        <f t="shared" si="5"/>
        <v>Sony Head Phones</v>
      </c>
      <c r="H7" s="23" t="s">
        <v>125</v>
      </c>
      <c r="I7" s="23" t="s">
        <v>45</v>
      </c>
      <c r="J7" s="15"/>
      <c r="K7" s="34">
        <f t="shared" si="2"/>
        <v>297.85714285714283</v>
      </c>
      <c r="L7" s="37">
        <v>45</v>
      </c>
      <c r="M7" s="23" t="s">
        <v>28</v>
      </c>
      <c r="O7" s="56"/>
      <c r="P7" s="56"/>
      <c r="Q7" s="56"/>
      <c r="R7" s="70"/>
    </row>
    <row r="8" spans="1:19" x14ac:dyDescent="0.25">
      <c r="A8" s="19" t="s">
        <v>47</v>
      </c>
      <c r="B8" s="19" t="str">
        <f t="shared" si="3"/>
        <v>19-JUL</v>
      </c>
      <c r="C8" s="52">
        <v>46222</v>
      </c>
      <c r="D8" s="22" t="str">
        <f t="shared" si="4"/>
        <v>UK</v>
      </c>
      <c r="E8" s="22" t="str">
        <f t="shared" si="0"/>
        <v>T-Shirt</v>
      </c>
      <c r="F8" s="22" t="str">
        <f t="shared" si="1"/>
        <v>T-Shirt</v>
      </c>
      <c r="G8" s="24" t="str">
        <f t="shared" si="5"/>
        <v>Adidas T-shirt</v>
      </c>
      <c r="H8" s="22" t="s">
        <v>48</v>
      </c>
      <c r="I8" s="22" t="s">
        <v>49</v>
      </c>
      <c r="J8" s="14">
        <v>30</v>
      </c>
      <c r="K8" s="34">
        <f t="shared" si="2"/>
        <v>30</v>
      </c>
      <c r="L8" s="36">
        <v>5</v>
      </c>
      <c r="M8" s="22" t="s">
        <v>32</v>
      </c>
      <c r="O8" s="54" t="s">
        <v>145</v>
      </c>
      <c r="P8" s="55"/>
      <c r="Q8" s="55"/>
      <c r="R8" s="32">
        <f>IF(ISBLANK(J2),AVERAGE($J$2:$J$35),J2)</f>
        <v>1000</v>
      </c>
    </row>
    <row r="9" spans="1:19" x14ac:dyDescent="0.25">
      <c r="A9" s="20" t="s">
        <v>50</v>
      </c>
      <c r="B9" s="19" t="str">
        <f t="shared" si="3"/>
        <v>23-AUG</v>
      </c>
      <c r="C9" s="52">
        <v>46257</v>
      </c>
      <c r="D9" s="22" t="str">
        <f t="shared" si="4"/>
        <v>UK</v>
      </c>
      <c r="E9" s="22" t="str">
        <f t="shared" si="0"/>
        <v>Blender</v>
      </c>
      <c r="F9" s="22" t="str">
        <f t="shared" si="1"/>
        <v>Blender</v>
      </c>
      <c r="G9" s="24" t="str">
        <f t="shared" si="5"/>
        <v>Ninja Blender</v>
      </c>
      <c r="H9" s="23" t="s">
        <v>51</v>
      </c>
      <c r="I9" s="23" t="s">
        <v>52</v>
      </c>
      <c r="J9" s="15">
        <v>90</v>
      </c>
      <c r="K9" s="34">
        <f t="shared" si="2"/>
        <v>90</v>
      </c>
      <c r="L9" s="37">
        <v>35</v>
      </c>
      <c r="M9" s="23" t="s">
        <v>36</v>
      </c>
      <c r="O9" s="55"/>
      <c r="P9" s="55"/>
      <c r="Q9" s="55"/>
      <c r="R9" s="33" t="s">
        <v>146</v>
      </c>
    </row>
    <row r="10" spans="1:19" ht="13.8" thickBot="1" x14ac:dyDescent="0.3">
      <c r="A10" s="19" t="s">
        <v>53</v>
      </c>
      <c r="B10" s="19" t="str">
        <f t="shared" si="3"/>
        <v>05-SEP</v>
      </c>
      <c r="C10" s="52">
        <v>46270</v>
      </c>
      <c r="D10" s="22" t="str">
        <f t="shared" si="4"/>
        <v>UK</v>
      </c>
      <c r="E10" s="22" t="str">
        <f t="shared" si="0"/>
        <v>Tablet</v>
      </c>
      <c r="F10" s="22" t="str">
        <f t="shared" si="1"/>
        <v>Tablet</v>
      </c>
      <c r="G10" s="24" t="str">
        <f t="shared" si="5"/>
        <v>Apple Tablet</v>
      </c>
      <c r="H10" s="22" t="s">
        <v>54</v>
      </c>
      <c r="I10" s="22" t="s">
        <v>55</v>
      </c>
      <c r="J10" s="14">
        <v>500</v>
      </c>
      <c r="K10" s="34">
        <f t="shared" si="2"/>
        <v>500</v>
      </c>
      <c r="L10" s="36">
        <v>50</v>
      </c>
      <c r="M10" s="22" t="s">
        <v>28</v>
      </c>
    </row>
    <row r="11" spans="1:19" x14ac:dyDescent="0.25">
      <c r="A11" s="20" t="s">
        <v>56</v>
      </c>
      <c r="B11" s="19" t="str">
        <f t="shared" si="3"/>
        <v>14-OCT</v>
      </c>
      <c r="C11" s="52">
        <v>46309</v>
      </c>
      <c r="D11" s="22" t="str">
        <f t="shared" si="4"/>
        <v>UK</v>
      </c>
      <c r="E11" s="22" t="str">
        <f t="shared" si="0"/>
        <v>Hiking Boots</v>
      </c>
      <c r="F11" s="22" t="str">
        <f t="shared" si="1"/>
        <v>Hiking Boots</v>
      </c>
      <c r="G11" s="24" t="str">
        <f t="shared" si="5"/>
        <v>Timberland Hiking Boots</v>
      </c>
      <c r="H11" s="23" t="s">
        <v>57</v>
      </c>
      <c r="I11" s="23" t="s">
        <v>58</v>
      </c>
      <c r="J11" s="15">
        <v>130</v>
      </c>
      <c r="K11" s="34">
        <f t="shared" si="2"/>
        <v>130</v>
      </c>
      <c r="L11" s="37">
        <v>10</v>
      </c>
      <c r="M11" s="23" t="s">
        <v>59</v>
      </c>
      <c r="O11" s="78" t="s">
        <v>119</v>
      </c>
      <c r="P11" s="79"/>
      <c r="Q11" s="80"/>
    </row>
    <row r="12" spans="1:19" x14ac:dyDescent="0.25">
      <c r="A12" s="19" t="s">
        <v>60</v>
      </c>
      <c r="B12" s="19" t="str">
        <f t="shared" si="3"/>
        <v>17-JUN</v>
      </c>
      <c r="C12" s="52">
        <v>46190</v>
      </c>
      <c r="D12" s="22" t="str">
        <f t="shared" si="4"/>
        <v>IN</v>
      </c>
      <c r="E12" s="22" t="str">
        <f t="shared" si="0"/>
        <v>Laptop</v>
      </c>
      <c r="F12" s="22" t="str">
        <f t="shared" si="1"/>
        <v>Laptop</v>
      </c>
      <c r="G12" s="24" t="str">
        <f t="shared" si="5"/>
        <v>HP Laptop</v>
      </c>
      <c r="H12" s="22" t="s">
        <v>61</v>
      </c>
      <c r="I12" s="22" t="s">
        <v>62</v>
      </c>
      <c r="J12" s="14">
        <v>950</v>
      </c>
      <c r="K12" s="34">
        <f t="shared" si="2"/>
        <v>950</v>
      </c>
      <c r="L12" s="36">
        <v>25</v>
      </c>
      <c r="M12" s="22" t="s">
        <v>28</v>
      </c>
      <c r="O12" s="81" t="s">
        <v>120</v>
      </c>
      <c r="P12" s="82"/>
      <c r="Q12" s="82"/>
      <c r="R12" s="32"/>
    </row>
    <row r="13" spans="1:19" x14ac:dyDescent="0.25">
      <c r="A13" s="20" t="s">
        <v>63</v>
      </c>
      <c r="B13" s="19" t="str">
        <f t="shared" si="3"/>
        <v>25-NOV</v>
      </c>
      <c r="C13" s="52">
        <v>46351</v>
      </c>
      <c r="D13" s="22" t="str">
        <f t="shared" si="4"/>
        <v>AU</v>
      </c>
      <c r="E13" s="22" t="str">
        <f t="shared" si="0"/>
        <v>Sneakers</v>
      </c>
      <c r="F13" s="22" t="str">
        <f t="shared" si="1"/>
        <v>Sneakers</v>
      </c>
      <c r="G13" s="24" t="str">
        <f t="shared" si="5"/>
        <v>Adidas Sneakers</v>
      </c>
      <c r="H13" s="23" t="s">
        <v>30</v>
      </c>
      <c r="I13" s="23" t="s">
        <v>49</v>
      </c>
      <c r="J13" s="15">
        <v>90</v>
      </c>
      <c r="K13" s="34">
        <f t="shared" si="2"/>
        <v>90</v>
      </c>
      <c r="L13" s="37">
        <v>40</v>
      </c>
      <c r="M13" s="23" t="s">
        <v>123</v>
      </c>
      <c r="O13" s="65" t="s">
        <v>147</v>
      </c>
      <c r="P13" s="66"/>
      <c r="Q13" s="66"/>
      <c r="R13" s="32" t="str">
        <f>TRIM(H2)</f>
        <v>laptop</v>
      </c>
    </row>
    <row r="14" spans="1:19" x14ac:dyDescent="0.25">
      <c r="A14" s="19" t="s">
        <v>64</v>
      </c>
      <c r="B14" s="19" t="str">
        <f t="shared" si="3"/>
        <v>08-DEC</v>
      </c>
      <c r="C14" s="52">
        <v>46364</v>
      </c>
      <c r="D14" s="22" t="str">
        <f t="shared" si="4"/>
        <v>DE</v>
      </c>
      <c r="E14" s="22" t="str">
        <f t="shared" si="0"/>
        <v>Coffee Maker</v>
      </c>
      <c r="F14" s="22" t="str">
        <f t="shared" si="1"/>
        <v>Coffee Maker</v>
      </c>
      <c r="G14" s="24" t="str">
        <f t="shared" si="5"/>
        <v>Nespresso Coffee Maker</v>
      </c>
      <c r="H14" s="22" t="s">
        <v>34</v>
      </c>
      <c r="I14" s="22" t="s">
        <v>65</v>
      </c>
      <c r="J14" s="14">
        <v>120</v>
      </c>
      <c r="K14" s="34">
        <f t="shared" si="2"/>
        <v>120</v>
      </c>
      <c r="L14" s="36">
        <v>35</v>
      </c>
      <c r="M14" s="22" t="s">
        <v>123</v>
      </c>
      <c r="O14" s="67" t="s">
        <v>148</v>
      </c>
      <c r="P14" s="68"/>
      <c r="Q14" s="68"/>
      <c r="R14" s="32" t="str">
        <f>PROPER(H2)</f>
        <v>Laptop</v>
      </c>
    </row>
    <row r="15" spans="1:19" x14ac:dyDescent="0.25">
      <c r="A15" s="20" t="s">
        <v>66</v>
      </c>
      <c r="B15" s="19" t="str">
        <f t="shared" si="3"/>
        <v>18-FEB</v>
      </c>
      <c r="C15" s="52">
        <v>46071</v>
      </c>
      <c r="D15" s="22" t="str">
        <f t="shared" si="4"/>
        <v>CA</v>
      </c>
      <c r="E15" s="22" t="str">
        <f t="shared" si="0"/>
        <v>Smart Watch</v>
      </c>
      <c r="F15" s="22" t="str">
        <f t="shared" si="1"/>
        <v>Smart Watch</v>
      </c>
      <c r="G15" s="24" t="str">
        <f t="shared" si="5"/>
        <v>Fitbit Smart Watch</v>
      </c>
      <c r="H15" s="23" t="s">
        <v>126</v>
      </c>
      <c r="I15" s="23" t="s">
        <v>68</v>
      </c>
      <c r="J15" s="15">
        <v>150</v>
      </c>
      <c r="K15" s="34">
        <f t="shared" si="2"/>
        <v>150</v>
      </c>
      <c r="L15" s="37">
        <v>15</v>
      </c>
      <c r="M15" s="23" t="s">
        <v>28</v>
      </c>
      <c r="O15" s="65" t="s">
        <v>127</v>
      </c>
      <c r="P15" s="65"/>
      <c r="Q15" s="65"/>
      <c r="R15" s="33" t="s">
        <v>128</v>
      </c>
    </row>
    <row r="16" spans="1:19" x14ac:dyDescent="0.25">
      <c r="A16" s="19" t="s">
        <v>69</v>
      </c>
      <c r="B16" s="19" t="str">
        <f t="shared" si="3"/>
        <v>16-APR</v>
      </c>
      <c r="C16" s="52">
        <v>46128</v>
      </c>
      <c r="D16" s="22" t="str">
        <f t="shared" si="4"/>
        <v>ES</v>
      </c>
      <c r="E16" s="22" t="str">
        <f t="shared" si="0"/>
        <v>Head Phones</v>
      </c>
      <c r="F16" s="22" t="str">
        <f t="shared" si="1"/>
        <v>Head Phones</v>
      </c>
      <c r="G16" s="24" t="str">
        <f t="shared" si="5"/>
        <v>Bose Head Phones</v>
      </c>
      <c r="H16" s="22" t="s">
        <v>125</v>
      </c>
      <c r="I16" s="22" t="s">
        <v>71</v>
      </c>
      <c r="J16" s="14">
        <v>250</v>
      </c>
      <c r="K16" s="34">
        <f t="shared" si="2"/>
        <v>250</v>
      </c>
      <c r="L16" s="36">
        <v>20</v>
      </c>
      <c r="M16" s="22" t="s">
        <v>28</v>
      </c>
      <c r="O16" s="54" t="s">
        <v>129</v>
      </c>
      <c r="P16" s="56"/>
      <c r="Q16" s="56"/>
      <c r="R16" s="32"/>
    </row>
    <row r="17" spans="1:18" x14ac:dyDescent="0.25">
      <c r="A17" s="20" t="s">
        <v>72</v>
      </c>
      <c r="B17" s="19" t="str">
        <f t="shared" si="3"/>
        <v>21-AUG</v>
      </c>
      <c r="C17" s="52">
        <v>46255</v>
      </c>
      <c r="D17" s="22" t="str">
        <f t="shared" si="4"/>
        <v>CA</v>
      </c>
      <c r="E17" s="22" t="str">
        <f t="shared" si="0"/>
        <v>Laptop Bag</v>
      </c>
      <c r="F17" s="22" t="str">
        <f t="shared" si="1"/>
        <v>Laptop Bag</v>
      </c>
      <c r="G17" s="24" t="str">
        <f t="shared" si="5"/>
        <v>Samsonite Laptop Bag</v>
      </c>
      <c r="H17" s="23" t="s">
        <v>73</v>
      </c>
      <c r="I17" s="23" t="s">
        <v>74</v>
      </c>
      <c r="J17" s="15">
        <v>50</v>
      </c>
      <c r="K17" s="34">
        <f t="shared" si="2"/>
        <v>50</v>
      </c>
      <c r="L17" s="37">
        <v>35</v>
      </c>
      <c r="M17" s="23" t="s">
        <v>75</v>
      </c>
      <c r="O17" s="56"/>
      <c r="P17" s="56"/>
      <c r="Q17" s="56"/>
      <c r="R17" s="33" t="s">
        <v>149</v>
      </c>
    </row>
    <row r="18" spans="1:18" x14ac:dyDescent="0.25">
      <c r="A18" s="19" t="s">
        <v>76</v>
      </c>
      <c r="B18" s="19" t="str">
        <f t="shared" si="3"/>
        <v>20-AUG</v>
      </c>
      <c r="C18" s="52">
        <v>46254</v>
      </c>
      <c r="D18" s="22" t="str">
        <f t="shared" si="4"/>
        <v>CN</v>
      </c>
      <c r="E18" s="22" t="str">
        <f t="shared" si="0"/>
        <v>Smart Watch</v>
      </c>
      <c r="F18" s="22" t="str">
        <f t="shared" si="1"/>
        <v>Smart Watch</v>
      </c>
      <c r="G18" s="24" t="str">
        <f t="shared" si="5"/>
        <v>Huawei Smart Watch</v>
      </c>
      <c r="H18" s="22" t="s">
        <v>126</v>
      </c>
      <c r="I18" s="22" t="s">
        <v>77</v>
      </c>
      <c r="J18" s="14">
        <v>160</v>
      </c>
      <c r="K18" s="34">
        <f t="shared" si="2"/>
        <v>160</v>
      </c>
      <c r="L18" s="36">
        <v>15</v>
      </c>
      <c r="M18" s="22" t="s">
        <v>28</v>
      </c>
      <c r="O18" s="56"/>
      <c r="P18" s="56"/>
      <c r="Q18" s="56"/>
      <c r="R18" s="32"/>
    </row>
    <row r="19" spans="1:18" ht="13.8" thickBot="1" x14ac:dyDescent="0.3">
      <c r="A19" s="20" t="s">
        <v>78</v>
      </c>
      <c r="B19" s="19" t="str">
        <f t="shared" si="3"/>
        <v>27-JAN</v>
      </c>
      <c r="C19" s="52">
        <v>46049</v>
      </c>
      <c r="D19" s="22" t="str">
        <f t="shared" si="4"/>
        <v>IT</v>
      </c>
      <c r="E19" s="22" t="str">
        <f t="shared" si="0"/>
        <v>Laptop</v>
      </c>
      <c r="F19" s="22" t="str">
        <f t="shared" si="1"/>
        <v>Laptop</v>
      </c>
      <c r="G19" s="24" t="str">
        <f t="shared" si="5"/>
        <v>Asus laptop</v>
      </c>
      <c r="H19" s="23" t="s">
        <v>26</v>
      </c>
      <c r="I19" s="23" t="s">
        <v>79</v>
      </c>
      <c r="J19" s="15">
        <v>980</v>
      </c>
      <c r="K19" s="34">
        <f t="shared" si="2"/>
        <v>980</v>
      </c>
      <c r="L19" s="37">
        <v>10</v>
      </c>
      <c r="M19" s="23" t="s">
        <v>28</v>
      </c>
    </row>
    <row r="20" spans="1:18" x14ac:dyDescent="0.25">
      <c r="A20" s="19" t="s">
        <v>80</v>
      </c>
      <c r="B20" s="19" t="str">
        <f>LEFT(A20,LEN(A20)-3)</f>
        <v>01-MAR</v>
      </c>
      <c r="C20" s="52">
        <v>46082</v>
      </c>
      <c r="D20" s="22" t="str">
        <f t="shared" si="4"/>
        <v>UK</v>
      </c>
      <c r="E20" s="22" t="str">
        <f t="shared" si="0"/>
        <v>Sunglasses</v>
      </c>
      <c r="F20" s="22" t="str">
        <f t="shared" si="1"/>
        <v>Sunglasses</v>
      </c>
      <c r="G20" s="24" t="str">
        <f t="shared" si="5"/>
        <v>Oakley Sunglasses</v>
      </c>
      <c r="H20" s="22" t="s">
        <v>81</v>
      </c>
      <c r="I20" s="22" t="s">
        <v>82</v>
      </c>
      <c r="J20" s="14">
        <v>150</v>
      </c>
      <c r="K20" s="34">
        <f t="shared" si="2"/>
        <v>150</v>
      </c>
      <c r="L20" s="36">
        <v>15</v>
      </c>
      <c r="M20" s="22" t="s">
        <v>32</v>
      </c>
      <c r="P20" s="78" t="s">
        <v>130</v>
      </c>
      <c r="Q20" s="80"/>
    </row>
    <row r="21" spans="1:18" x14ac:dyDescent="0.25">
      <c r="A21" s="20" t="s">
        <v>83</v>
      </c>
      <c r="B21" s="19" t="str">
        <f t="shared" si="3"/>
        <v>14-AUG</v>
      </c>
      <c r="C21" s="52">
        <v>46248</v>
      </c>
      <c r="D21" s="22" t="str">
        <f t="shared" si="4"/>
        <v>US</v>
      </c>
      <c r="E21" s="22" t="str">
        <f t="shared" si="0"/>
        <v>Camping Tent</v>
      </c>
      <c r="F21" s="22" t="str">
        <f t="shared" si="1"/>
        <v>Camping Tent</v>
      </c>
      <c r="G21" s="24" t="str">
        <f t="shared" si="5"/>
        <v>Coleman Camping Tent</v>
      </c>
      <c r="H21" s="23" t="s">
        <v>84</v>
      </c>
      <c r="I21" s="23" t="s">
        <v>85</v>
      </c>
      <c r="J21" s="15"/>
      <c r="K21" s="34">
        <f t="shared" si="2"/>
        <v>297.85714285714283</v>
      </c>
      <c r="L21" s="37">
        <v>10</v>
      </c>
      <c r="M21" s="23" t="s">
        <v>59</v>
      </c>
      <c r="O21" s="81" t="s">
        <v>131</v>
      </c>
      <c r="P21" s="82"/>
      <c r="Q21" s="82"/>
    </row>
    <row r="22" spans="1:18" ht="13.8" thickBot="1" x14ac:dyDescent="0.3">
      <c r="A22" s="19" t="s">
        <v>86</v>
      </c>
      <c r="B22" s="19" t="str">
        <f t="shared" si="3"/>
        <v>14-MAY</v>
      </c>
      <c r="C22" s="52">
        <v>46156</v>
      </c>
      <c r="D22" s="22" t="str">
        <f t="shared" si="4"/>
        <v>RU</v>
      </c>
      <c r="E22" s="22" t="str">
        <f t="shared" si="0"/>
        <v>Camera</v>
      </c>
      <c r="F22" s="22" t="str">
        <f t="shared" si="1"/>
        <v>Camera</v>
      </c>
      <c r="G22" s="24" t="str">
        <f t="shared" si="5"/>
        <v>Nikon Camera</v>
      </c>
      <c r="H22" s="22" t="s">
        <v>87</v>
      </c>
      <c r="I22" s="22" t="s">
        <v>88</v>
      </c>
      <c r="J22" s="14">
        <v>700</v>
      </c>
      <c r="K22" s="34">
        <f t="shared" si="2"/>
        <v>700</v>
      </c>
      <c r="L22" s="36">
        <v>50</v>
      </c>
      <c r="M22" s="22" t="s">
        <v>28</v>
      </c>
    </row>
    <row r="23" spans="1:18" x14ac:dyDescent="0.25">
      <c r="A23" s="20" t="s">
        <v>89</v>
      </c>
      <c r="B23" s="19" t="str">
        <f t="shared" si="3"/>
        <v>09-JAN</v>
      </c>
      <c r="C23" s="52">
        <v>46031</v>
      </c>
      <c r="D23" s="22" t="str">
        <f t="shared" si="4"/>
        <v>CA</v>
      </c>
      <c r="E23" s="22" t="str">
        <f t="shared" si="0"/>
        <v>Microwave</v>
      </c>
      <c r="F23" s="22" t="str">
        <f t="shared" si="1"/>
        <v>Microwave</v>
      </c>
      <c r="G23" s="24" t="str">
        <f t="shared" si="5"/>
        <v>Panasonic Microwave</v>
      </c>
      <c r="H23" s="23" t="s">
        <v>90</v>
      </c>
      <c r="I23" s="23" t="s">
        <v>91</v>
      </c>
      <c r="J23" s="15">
        <v>80</v>
      </c>
      <c r="K23" s="34">
        <f t="shared" si="2"/>
        <v>80</v>
      </c>
      <c r="L23" s="37">
        <v>20</v>
      </c>
      <c r="M23" s="23" t="s">
        <v>36</v>
      </c>
      <c r="O23" s="78" t="s">
        <v>132</v>
      </c>
      <c r="P23" s="79"/>
      <c r="Q23" s="80"/>
    </row>
    <row r="24" spans="1:18" x14ac:dyDescent="0.25">
      <c r="A24" s="19" t="s">
        <v>92</v>
      </c>
      <c r="B24" s="19" t="str">
        <f t="shared" si="3"/>
        <v>19-JUL</v>
      </c>
      <c r="C24" s="52">
        <v>46222</v>
      </c>
      <c r="D24" s="22" t="str">
        <f t="shared" si="4"/>
        <v>BR</v>
      </c>
      <c r="E24" s="22" t="str">
        <f t="shared" si="0"/>
        <v>Fitness Tracker</v>
      </c>
      <c r="F24" s="22" t="str">
        <f t="shared" si="1"/>
        <v>Fitness Tracker</v>
      </c>
      <c r="G24" s="24" t="str">
        <f t="shared" si="5"/>
        <v>Xiaomi Fitness Tracker</v>
      </c>
      <c r="H24" s="22" t="s">
        <v>93</v>
      </c>
      <c r="I24" s="22" t="s">
        <v>94</v>
      </c>
      <c r="J24" s="14">
        <v>150</v>
      </c>
      <c r="K24" s="34">
        <f t="shared" si="2"/>
        <v>150</v>
      </c>
      <c r="L24" s="36">
        <v>30</v>
      </c>
      <c r="M24" s="22" t="s">
        <v>123</v>
      </c>
      <c r="O24" s="54" t="s">
        <v>11</v>
      </c>
      <c r="P24" s="56"/>
      <c r="Q24" s="56"/>
      <c r="R24" s="81" t="s">
        <v>150</v>
      </c>
    </row>
    <row r="25" spans="1:18" x14ac:dyDescent="0.25">
      <c r="A25" s="19" t="s">
        <v>95</v>
      </c>
      <c r="B25" s="19" t="str">
        <f t="shared" si="3"/>
        <v>29-SEP</v>
      </c>
      <c r="C25" s="52">
        <v>46294</v>
      </c>
      <c r="D25" s="22" t="str">
        <f t="shared" si="4"/>
        <v>CA</v>
      </c>
      <c r="E25" s="22" t="str">
        <f t="shared" si="0"/>
        <v>Smart Phone</v>
      </c>
      <c r="F25" s="22" t="str">
        <f t="shared" si="1"/>
        <v>Smart Phone</v>
      </c>
      <c r="G25" s="24" t="str">
        <f t="shared" si="5"/>
        <v>Google Smart Phone</v>
      </c>
      <c r="H25" s="22" t="s">
        <v>124</v>
      </c>
      <c r="I25" s="22" t="s">
        <v>97</v>
      </c>
      <c r="J25" s="14">
        <v>800</v>
      </c>
      <c r="K25" s="34">
        <f t="shared" si="2"/>
        <v>800</v>
      </c>
      <c r="L25" s="36">
        <v>45</v>
      </c>
      <c r="M25" s="22" t="s">
        <v>28</v>
      </c>
      <c r="O25" s="56"/>
      <c r="P25" s="56"/>
      <c r="Q25" s="56"/>
      <c r="R25" s="82"/>
    </row>
    <row r="26" spans="1:18" x14ac:dyDescent="0.25">
      <c r="A26" s="20" t="s">
        <v>98</v>
      </c>
      <c r="B26" s="19" t="str">
        <f t="shared" si="3"/>
        <v>03-JUN</v>
      </c>
      <c r="C26" s="52">
        <v>46176</v>
      </c>
      <c r="D26" s="22" t="str">
        <f t="shared" si="4"/>
        <v>CA</v>
      </c>
      <c r="E26" s="22" t="str">
        <f t="shared" si="0"/>
        <v>Sunglasses</v>
      </c>
      <c r="F26" s="22" t="str">
        <f t="shared" si="1"/>
        <v>Sunglasses</v>
      </c>
      <c r="G26" s="24" t="str">
        <f t="shared" si="5"/>
        <v>Ray-Ban Sunglasses</v>
      </c>
      <c r="H26" s="23" t="s">
        <v>81</v>
      </c>
      <c r="I26" s="23" t="s">
        <v>99</v>
      </c>
      <c r="J26" s="15"/>
      <c r="K26" s="34">
        <f t="shared" si="2"/>
        <v>297.85714285714283</v>
      </c>
      <c r="L26" s="37">
        <v>25</v>
      </c>
      <c r="M26" s="23" t="s">
        <v>32</v>
      </c>
      <c r="O26" s="56"/>
      <c r="P26" s="56"/>
      <c r="Q26" s="56"/>
    </row>
    <row r="27" spans="1:18" x14ac:dyDescent="0.25">
      <c r="A27" s="19" t="s">
        <v>100</v>
      </c>
      <c r="B27" s="19" t="str">
        <f t="shared" si="3"/>
        <v>11-JUL</v>
      </c>
      <c r="C27" s="52">
        <v>46214</v>
      </c>
      <c r="D27" s="22" t="str">
        <f t="shared" si="4"/>
        <v>CA</v>
      </c>
      <c r="E27" s="22" t="str">
        <f t="shared" si="0"/>
        <v>Blender</v>
      </c>
      <c r="F27" s="22" t="str">
        <f t="shared" si="1"/>
        <v>Blender</v>
      </c>
      <c r="G27" s="24" t="str">
        <f t="shared" si="5"/>
        <v>Vitamix Blender</v>
      </c>
      <c r="H27" s="22" t="s">
        <v>51</v>
      </c>
      <c r="I27" s="22" t="s">
        <v>101</v>
      </c>
      <c r="J27" s="14">
        <v>400</v>
      </c>
      <c r="K27" s="34">
        <f t="shared" si="2"/>
        <v>400</v>
      </c>
      <c r="L27" s="36">
        <v>40</v>
      </c>
      <c r="M27" s="22" t="s">
        <v>36</v>
      </c>
    </row>
    <row r="28" spans="1:18" ht="13.2" customHeight="1" x14ac:dyDescent="0.25">
      <c r="A28" s="19" t="s">
        <v>102</v>
      </c>
      <c r="B28" s="19" t="str">
        <f t="shared" si="3"/>
        <v>07-MAR</v>
      </c>
      <c r="C28" s="52">
        <v>46088</v>
      </c>
      <c r="D28" s="22" t="str">
        <f t="shared" si="4"/>
        <v>CA</v>
      </c>
      <c r="E28" s="22" t="str">
        <f t="shared" si="0"/>
        <v>Dress</v>
      </c>
      <c r="F28" s="22" t="str">
        <f t="shared" si="1"/>
        <v>Dress</v>
      </c>
      <c r="G28" s="24" t="str">
        <f t="shared" si="5"/>
        <v>Zara Dress</v>
      </c>
      <c r="H28" s="22" t="s">
        <v>103</v>
      </c>
      <c r="I28" s="22" t="s">
        <v>104</v>
      </c>
      <c r="J28" s="14">
        <v>60</v>
      </c>
      <c r="K28" s="34">
        <f t="shared" si="2"/>
        <v>60</v>
      </c>
      <c r="L28" s="36">
        <v>30</v>
      </c>
      <c r="M28" s="22" t="s">
        <v>32</v>
      </c>
      <c r="O28" s="83" t="s">
        <v>135</v>
      </c>
      <c r="P28" s="83"/>
      <c r="Q28" s="83"/>
    </row>
    <row r="29" spans="1:18" x14ac:dyDescent="0.25">
      <c r="A29" s="20" t="s">
        <v>105</v>
      </c>
      <c r="B29" s="19" t="str">
        <f t="shared" si="3"/>
        <v>13-APR</v>
      </c>
      <c r="C29" s="52">
        <v>46125</v>
      </c>
      <c r="D29" s="22" t="str">
        <f t="shared" si="4"/>
        <v>CA</v>
      </c>
      <c r="E29" s="22" t="str">
        <f t="shared" si="0"/>
        <v>Toaster</v>
      </c>
      <c r="F29" s="22" t="str">
        <f t="shared" si="1"/>
        <v>Toaster</v>
      </c>
      <c r="G29" s="24" t="str">
        <f t="shared" si="5"/>
        <v>Hamilton Toaster</v>
      </c>
      <c r="H29" s="23" t="s">
        <v>106</v>
      </c>
      <c r="I29" s="23" t="s">
        <v>107</v>
      </c>
      <c r="J29" s="15">
        <v>40</v>
      </c>
      <c r="K29" s="34">
        <f t="shared" si="2"/>
        <v>40</v>
      </c>
      <c r="L29" s="37">
        <v>10</v>
      </c>
      <c r="M29" s="23" t="s">
        <v>36</v>
      </c>
      <c r="O29" s="83"/>
      <c r="P29" s="83"/>
      <c r="Q29" s="83"/>
      <c r="R29" s="84" t="s">
        <v>151</v>
      </c>
    </row>
    <row r="30" spans="1:18" x14ac:dyDescent="0.25">
      <c r="A30" s="19" t="s">
        <v>108</v>
      </c>
      <c r="B30" s="19" t="str">
        <f t="shared" si="3"/>
        <v>24-MAY</v>
      </c>
      <c r="C30" s="52">
        <v>46166</v>
      </c>
      <c r="D30" s="22" t="str">
        <f t="shared" si="4"/>
        <v>CA</v>
      </c>
      <c r="E30" s="22" t="str">
        <f t="shared" si="0"/>
        <v>Fitness Tracker</v>
      </c>
      <c r="F30" s="22" t="str">
        <f t="shared" si="1"/>
        <v>Fitness Tracker</v>
      </c>
      <c r="G30" s="24" t="str">
        <f t="shared" si="5"/>
        <v>Garmin Fitness Tracker</v>
      </c>
      <c r="H30" s="22" t="s">
        <v>93</v>
      </c>
      <c r="I30" s="22" t="s">
        <v>109</v>
      </c>
      <c r="J30" s="14">
        <v>130</v>
      </c>
      <c r="K30" s="34">
        <f t="shared" si="2"/>
        <v>130</v>
      </c>
      <c r="L30" s="36">
        <v>5</v>
      </c>
      <c r="M30" s="22" t="s">
        <v>28</v>
      </c>
      <c r="O30" s="83"/>
      <c r="P30" s="83"/>
      <c r="Q30" s="83"/>
      <c r="R30" s="84"/>
    </row>
    <row r="31" spans="1:18" ht="13.8" thickBot="1" x14ac:dyDescent="0.3">
      <c r="A31" s="20" t="s">
        <v>110</v>
      </c>
      <c r="B31" s="19" t="str">
        <f t="shared" si="3"/>
        <v>02-DEC</v>
      </c>
      <c r="C31" s="52">
        <v>46358</v>
      </c>
      <c r="D31" s="22" t="str">
        <f t="shared" si="4"/>
        <v>CA</v>
      </c>
      <c r="E31" s="22" t="str">
        <f t="shared" si="0"/>
        <v>Jeans</v>
      </c>
      <c r="F31" s="22" t="str">
        <f t="shared" si="1"/>
        <v>Jeans</v>
      </c>
      <c r="G31" s="24" t="str">
        <f t="shared" si="5"/>
        <v>Levi's Jeans</v>
      </c>
      <c r="H31" s="23" t="s">
        <v>111</v>
      </c>
      <c r="I31" s="23" t="s">
        <v>112</v>
      </c>
      <c r="J31" s="15">
        <v>50</v>
      </c>
      <c r="K31" s="34">
        <f t="shared" si="2"/>
        <v>50</v>
      </c>
      <c r="L31" s="37">
        <v>50</v>
      </c>
      <c r="M31" s="23" t="s">
        <v>32</v>
      </c>
    </row>
    <row r="32" spans="1:18" x14ac:dyDescent="0.25">
      <c r="A32" s="20" t="s">
        <v>113</v>
      </c>
      <c r="B32" s="19" t="str">
        <f t="shared" si="3"/>
        <v>09-JUL</v>
      </c>
      <c r="C32" s="52">
        <v>46212</v>
      </c>
      <c r="D32" s="22" t="str">
        <f t="shared" si="4"/>
        <v>FR</v>
      </c>
      <c r="E32" s="22" t="str">
        <f t="shared" si="0"/>
        <v>Watch</v>
      </c>
      <c r="F32" s="22" t="str">
        <f t="shared" si="1"/>
        <v>Watch</v>
      </c>
      <c r="G32" s="24" t="str">
        <f t="shared" si="5"/>
        <v>Casio Watch</v>
      </c>
      <c r="H32" s="23" t="s">
        <v>114</v>
      </c>
      <c r="I32" s="23" t="s">
        <v>115</v>
      </c>
      <c r="J32" s="15">
        <v>100</v>
      </c>
      <c r="K32" s="34">
        <f t="shared" si="2"/>
        <v>100</v>
      </c>
      <c r="L32" s="37">
        <v>20</v>
      </c>
      <c r="M32" s="23" t="s">
        <v>75</v>
      </c>
      <c r="O32" s="57" t="s">
        <v>136</v>
      </c>
      <c r="P32" s="58"/>
      <c r="Q32" s="59"/>
    </row>
    <row r="33" spans="1:18" x14ac:dyDescent="0.25">
      <c r="A33" s="32"/>
      <c r="B33" s="32"/>
      <c r="C33" s="47"/>
      <c r="D33" s="48"/>
      <c r="E33" s="48"/>
      <c r="F33" s="32"/>
      <c r="G33" s="48"/>
      <c r="H33" s="32"/>
      <c r="I33" s="48"/>
      <c r="J33" s="32"/>
      <c r="K33" s="49"/>
      <c r="L33" s="50"/>
      <c r="M33" s="32"/>
      <c r="O33" s="54" t="s">
        <v>137</v>
      </c>
      <c r="P33" s="55"/>
      <c r="Q33" s="55"/>
      <c r="R33" s="71" t="s">
        <v>152</v>
      </c>
    </row>
    <row r="34" spans="1:18" x14ac:dyDescent="0.25">
      <c r="A34" s="32"/>
      <c r="B34" s="32"/>
      <c r="C34" s="51"/>
      <c r="D34" s="48"/>
      <c r="E34" s="48"/>
      <c r="F34" s="32"/>
      <c r="G34" s="48"/>
      <c r="H34" s="32"/>
      <c r="I34" s="48"/>
      <c r="J34" s="32"/>
      <c r="K34" s="49"/>
      <c r="L34" s="50"/>
      <c r="M34" s="32"/>
      <c r="O34" s="55"/>
      <c r="P34" s="55"/>
      <c r="Q34" s="55"/>
      <c r="R34" s="71"/>
    </row>
    <row r="35" spans="1:18" x14ac:dyDescent="0.25">
      <c r="A35"/>
      <c r="B35"/>
      <c r="F35"/>
      <c r="O35" s="54" t="s">
        <v>138</v>
      </c>
      <c r="P35" s="56"/>
      <c r="Q35" s="56"/>
      <c r="R35" s="71" t="s">
        <v>153</v>
      </c>
    </row>
    <row r="36" spans="1:18" x14ac:dyDescent="0.25">
      <c r="O36" s="56"/>
      <c r="P36" s="56"/>
      <c r="Q36" s="56"/>
      <c r="R36" s="71"/>
    </row>
    <row r="37" spans="1:18" x14ac:dyDescent="0.25">
      <c r="O37" s="56"/>
      <c r="P37" s="56"/>
      <c r="Q37" s="56"/>
    </row>
    <row r="38" spans="1:18" ht="13.8" thickBot="1" x14ac:dyDescent="0.3">
      <c r="O38" s="60" t="s">
        <v>140</v>
      </c>
      <c r="P38" s="61"/>
      <c r="Q38" s="62"/>
    </row>
    <row r="40" spans="1:18" x14ac:dyDescent="0.25">
      <c r="O40" s="54" t="s">
        <v>141</v>
      </c>
      <c r="P40" s="55"/>
      <c r="Q40" s="55"/>
      <c r="R40" s="32" t="s">
        <v>154</v>
      </c>
    </row>
    <row r="41" spans="1:18" x14ac:dyDescent="0.25">
      <c r="O41" s="55"/>
      <c r="P41" s="55"/>
      <c r="Q41" s="55"/>
    </row>
    <row r="42" spans="1:18" x14ac:dyDescent="0.25">
      <c r="O42" s="54" t="s">
        <v>142</v>
      </c>
      <c r="P42" s="56"/>
      <c r="Q42" s="56"/>
    </row>
    <row r="43" spans="1:18" x14ac:dyDescent="0.25">
      <c r="O43" s="56"/>
      <c r="P43" s="56"/>
      <c r="Q43" s="56"/>
      <c r="R43" s="32" t="s">
        <v>155</v>
      </c>
    </row>
    <row r="44" spans="1:18" x14ac:dyDescent="0.25">
      <c r="O44" s="56"/>
      <c r="P44" s="56"/>
      <c r="Q44" s="56"/>
    </row>
    <row r="45" spans="1:18" x14ac:dyDescent="0.25">
      <c r="O45" s="56"/>
      <c r="P45" s="56"/>
      <c r="Q45" s="56"/>
    </row>
  </sheetData>
  <mergeCells count="26">
    <mergeCell ref="R6:R7"/>
    <mergeCell ref="R33:R34"/>
    <mergeCell ref="R35:R36"/>
    <mergeCell ref="O8:Q9"/>
    <mergeCell ref="O4:Q5"/>
    <mergeCell ref="O11:Q11"/>
    <mergeCell ref="O12:Q12"/>
    <mergeCell ref="O16:Q18"/>
    <mergeCell ref="P20:Q20"/>
    <mergeCell ref="O21:Q21"/>
    <mergeCell ref="O23:Q23"/>
    <mergeCell ref="O24:Q26"/>
    <mergeCell ref="R24:R25"/>
    <mergeCell ref="O28:Q30"/>
    <mergeCell ref="R29:R30"/>
    <mergeCell ref="P2:Q2"/>
    <mergeCell ref="O6:Q7"/>
    <mergeCell ref="O13:Q13"/>
    <mergeCell ref="O14:Q14"/>
    <mergeCell ref="O15:Q15"/>
    <mergeCell ref="O40:Q41"/>
    <mergeCell ref="O42:Q45"/>
    <mergeCell ref="O32:Q32"/>
    <mergeCell ref="O33:Q34"/>
    <mergeCell ref="O35:Q37"/>
    <mergeCell ref="O38:Q38"/>
  </mergeCells>
  <conditionalFormatting sqref="J1:J32">
    <cfRule type="containsBlanks" dxfId="7" priority="3">
      <formula>LEN(TRIM(J1))=0</formula>
    </cfRule>
  </conditionalFormatting>
  <conditionalFormatting sqref="J2:J32">
    <cfRule type="containsBlanks" priority="4">
      <formula>LEN(TRIM(J2))=0</formula>
    </cfRule>
  </conditionalFormatting>
  <conditionalFormatting sqref="K1:K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{09456E04-96B6-48B6-B7F6-4A60E999E358}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56E04-96B6-48B6-B7F6-4A60E999E3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containsText" priority="1" operator="containsText" id="{E7A456A3-FEC0-47B1-A6D8-5D7FD15E5D1B}">
            <xm:f>NOT(ISERROR(SEARCH($M$2,M1)))</xm:f>
            <xm:f>$M$2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812A-82C8-4C0D-A2E7-927CA8A03EA1}">
  <dimension ref="A1:K32"/>
  <sheetViews>
    <sheetView tabSelected="1" workbookViewId="0">
      <selection activeCell="M18" sqref="M18"/>
    </sheetView>
  </sheetViews>
  <sheetFormatPr defaultColWidth="17.88671875" defaultRowHeight="13.2" x14ac:dyDescent="0.25"/>
  <cols>
    <col min="2" max="2" width="30.44140625" customWidth="1"/>
    <col min="4" max="4" width="22.88671875" customWidth="1"/>
    <col min="7" max="7" width="22.88671875" customWidth="1"/>
    <col min="10" max="10" width="17.88671875" style="113"/>
  </cols>
  <sheetData>
    <row r="1" spans="1:11" ht="26.4" x14ac:dyDescent="0.25">
      <c r="A1" s="93" t="s">
        <v>19</v>
      </c>
      <c r="B1" s="94" t="s">
        <v>158</v>
      </c>
      <c r="C1" s="95" t="s">
        <v>133</v>
      </c>
      <c r="D1" s="115" t="s">
        <v>191</v>
      </c>
      <c r="E1" s="97" t="s">
        <v>20</v>
      </c>
      <c r="F1" s="97" t="s">
        <v>21</v>
      </c>
      <c r="G1" s="96" t="s">
        <v>159</v>
      </c>
      <c r="H1" s="98" t="s">
        <v>22</v>
      </c>
      <c r="I1" s="99" t="s">
        <v>117</v>
      </c>
      <c r="J1" s="109" t="s">
        <v>23</v>
      </c>
      <c r="K1" s="100" t="s">
        <v>24</v>
      </c>
    </row>
    <row r="2" spans="1:11" x14ac:dyDescent="0.25">
      <c r="A2" s="86" t="s">
        <v>25</v>
      </c>
      <c r="B2" s="114">
        <v>46050</v>
      </c>
      <c r="C2" s="22" t="str">
        <f>RIGHT(A2,2)</f>
        <v>US</v>
      </c>
      <c r="D2" s="22" t="str">
        <f t="shared" ref="D2:D32" si="0">PROPER(E2)</f>
        <v>Laptop</v>
      </c>
      <c r="E2" s="22" t="s">
        <v>26</v>
      </c>
      <c r="F2" s="22" t="s">
        <v>27</v>
      </c>
      <c r="G2" s="24" t="s">
        <v>160</v>
      </c>
      <c r="H2" s="14">
        <v>1000</v>
      </c>
      <c r="I2" s="34">
        <f t="shared" ref="I2:I32" si="1">IF(ISBLANK(H2),AVERAGE($H$2:$H$35),H2)</f>
        <v>1000</v>
      </c>
      <c r="J2" s="110">
        <v>30</v>
      </c>
      <c r="K2" s="90" t="s">
        <v>28</v>
      </c>
    </row>
    <row r="3" spans="1:11" x14ac:dyDescent="0.25">
      <c r="A3" s="87" t="s">
        <v>29</v>
      </c>
      <c r="B3" s="52">
        <v>46068</v>
      </c>
      <c r="C3" s="22" t="str">
        <f>RIGHT(A3,2)</f>
        <v>US</v>
      </c>
      <c r="D3" s="22" t="str">
        <f t="shared" si="0"/>
        <v>Sneakers</v>
      </c>
      <c r="E3" s="23" t="s">
        <v>30</v>
      </c>
      <c r="F3" s="23" t="s">
        <v>31</v>
      </c>
      <c r="G3" s="24" t="s">
        <v>161</v>
      </c>
      <c r="H3" s="15">
        <v>80</v>
      </c>
      <c r="I3" s="34">
        <f t="shared" si="1"/>
        <v>80</v>
      </c>
      <c r="J3" s="111">
        <v>15</v>
      </c>
      <c r="K3" s="91" t="s">
        <v>32</v>
      </c>
    </row>
    <row r="4" spans="1:11" x14ac:dyDescent="0.25">
      <c r="A4" s="86" t="s">
        <v>33</v>
      </c>
      <c r="B4" s="52">
        <v>46084</v>
      </c>
      <c r="C4" s="22" t="str">
        <f>RIGHT(A4,2)</f>
        <v>US</v>
      </c>
      <c r="D4" s="22" t="str">
        <f t="shared" si="0"/>
        <v>Coffee Maker</v>
      </c>
      <c r="E4" s="22" t="s">
        <v>34</v>
      </c>
      <c r="F4" s="22" t="s">
        <v>35</v>
      </c>
      <c r="G4" s="24" t="s">
        <v>162</v>
      </c>
      <c r="H4" s="14">
        <v>130</v>
      </c>
      <c r="I4" s="34">
        <f t="shared" si="1"/>
        <v>130</v>
      </c>
      <c r="J4" s="110">
        <v>40</v>
      </c>
      <c r="K4" s="92" t="s">
        <v>36</v>
      </c>
    </row>
    <row r="5" spans="1:11" x14ac:dyDescent="0.25">
      <c r="A5" s="87" t="s">
        <v>37</v>
      </c>
      <c r="B5" s="52">
        <v>46123</v>
      </c>
      <c r="C5" s="22" t="str">
        <f>RIGHT(A5,2)</f>
        <v>US</v>
      </c>
      <c r="D5" s="22" t="str">
        <f t="shared" si="0"/>
        <v>Smart Phone</v>
      </c>
      <c r="E5" s="27" t="s">
        <v>124</v>
      </c>
      <c r="F5" s="23" t="s">
        <v>39</v>
      </c>
      <c r="G5" s="24" t="s">
        <v>163</v>
      </c>
      <c r="H5" s="15">
        <v>900</v>
      </c>
      <c r="I5" s="34">
        <f t="shared" si="1"/>
        <v>900</v>
      </c>
      <c r="J5" s="111">
        <v>25</v>
      </c>
      <c r="K5" s="91" t="s">
        <v>28</v>
      </c>
    </row>
    <row r="6" spans="1:11" x14ac:dyDescent="0.25">
      <c r="A6" s="86" t="s">
        <v>40</v>
      </c>
      <c r="B6" s="52">
        <v>46164</v>
      </c>
      <c r="C6" s="22" t="str">
        <f>RIGHT(A6,2)</f>
        <v>US</v>
      </c>
      <c r="D6" s="22" t="str">
        <f t="shared" si="0"/>
        <v>Backpack</v>
      </c>
      <c r="E6" s="22" t="s">
        <v>41</v>
      </c>
      <c r="F6" s="22" t="s">
        <v>42</v>
      </c>
      <c r="G6" s="24" t="s">
        <v>164</v>
      </c>
      <c r="H6" s="14">
        <v>70</v>
      </c>
      <c r="I6" s="34">
        <f t="shared" si="1"/>
        <v>70</v>
      </c>
      <c r="J6" s="110">
        <v>20</v>
      </c>
      <c r="K6" s="92" t="s">
        <v>123</v>
      </c>
    </row>
    <row r="7" spans="1:11" x14ac:dyDescent="0.25">
      <c r="A7" s="88" t="s">
        <v>43</v>
      </c>
      <c r="B7" s="52">
        <v>46180</v>
      </c>
      <c r="C7" s="22" t="str">
        <f>RIGHT(A7,2)</f>
        <v>UK</v>
      </c>
      <c r="D7" s="22" t="str">
        <f t="shared" si="0"/>
        <v>Head Phones</v>
      </c>
      <c r="E7" s="23" t="s">
        <v>125</v>
      </c>
      <c r="F7" s="23" t="s">
        <v>45</v>
      </c>
      <c r="G7" s="24" t="s">
        <v>165</v>
      </c>
      <c r="H7" s="15"/>
      <c r="I7" s="34">
        <f t="shared" si="1"/>
        <v>297.85714285714283</v>
      </c>
      <c r="J7" s="111">
        <v>45</v>
      </c>
      <c r="K7" s="91" t="s">
        <v>28</v>
      </c>
    </row>
    <row r="8" spans="1:11" x14ac:dyDescent="0.25">
      <c r="A8" s="89" t="s">
        <v>47</v>
      </c>
      <c r="B8" s="52">
        <v>46222</v>
      </c>
      <c r="C8" s="22" t="str">
        <f>RIGHT(A8,2)</f>
        <v>UK</v>
      </c>
      <c r="D8" s="22" t="str">
        <f t="shared" si="0"/>
        <v>T-Shirt</v>
      </c>
      <c r="E8" s="22" t="s">
        <v>48</v>
      </c>
      <c r="F8" s="22" t="s">
        <v>49</v>
      </c>
      <c r="G8" s="24" t="s">
        <v>166</v>
      </c>
      <c r="H8" s="14">
        <v>30</v>
      </c>
      <c r="I8" s="34">
        <f t="shared" si="1"/>
        <v>30</v>
      </c>
      <c r="J8" s="110">
        <v>5</v>
      </c>
      <c r="K8" s="92" t="s">
        <v>32</v>
      </c>
    </row>
    <row r="9" spans="1:11" x14ac:dyDescent="0.25">
      <c r="A9" s="88" t="s">
        <v>50</v>
      </c>
      <c r="B9" s="52">
        <v>46257</v>
      </c>
      <c r="C9" s="22" t="str">
        <f>RIGHT(A9,2)</f>
        <v>UK</v>
      </c>
      <c r="D9" s="22" t="str">
        <f t="shared" si="0"/>
        <v>Blender</v>
      </c>
      <c r="E9" s="23" t="s">
        <v>51</v>
      </c>
      <c r="F9" s="23" t="s">
        <v>52</v>
      </c>
      <c r="G9" s="24" t="s">
        <v>167</v>
      </c>
      <c r="H9" s="15">
        <v>90</v>
      </c>
      <c r="I9" s="34">
        <f t="shared" si="1"/>
        <v>90</v>
      </c>
      <c r="J9" s="111">
        <v>35</v>
      </c>
      <c r="K9" s="91" t="s">
        <v>36</v>
      </c>
    </row>
    <row r="10" spans="1:11" x14ac:dyDescent="0.25">
      <c r="A10" s="89" t="s">
        <v>53</v>
      </c>
      <c r="B10" s="52">
        <v>46270</v>
      </c>
      <c r="C10" s="22" t="str">
        <f>RIGHT(A10,2)</f>
        <v>UK</v>
      </c>
      <c r="D10" s="22" t="str">
        <f t="shared" si="0"/>
        <v>Tablet</v>
      </c>
      <c r="E10" s="22" t="s">
        <v>54</v>
      </c>
      <c r="F10" s="22" t="s">
        <v>55</v>
      </c>
      <c r="G10" s="24" t="s">
        <v>168</v>
      </c>
      <c r="H10" s="14">
        <v>500</v>
      </c>
      <c r="I10" s="34">
        <f t="shared" si="1"/>
        <v>500</v>
      </c>
      <c r="J10" s="110">
        <v>50</v>
      </c>
      <c r="K10" s="92" t="s">
        <v>28</v>
      </c>
    </row>
    <row r="11" spans="1:11" x14ac:dyDescent="0.25">
      <c r="A11" s="88" t="s">
        <v>56</v>
      </c>
      <c r="B11" s="52">
        <v>46309</v>
      </c>
      <c r="C11" s="22" t="str">
        <f>RIGHT(A11,2)</f>
        <v>UK</v>
      </c>
      <c r="D11" s="22" t="str">
        <f t="shared" si="0"/>
        <v>Hiking Boots</v>
      </c>
      <c r="E11" s="23" t="s">
        <v>57</v>
      </c>
      <c r="F11" s="23" t="s">
        <v>58</v>
      </c>
      <c r="G11" s="24" t="s">
        <v>169</v>
      </c>
      <c r="H11" s="15">
        <v>130</v>
      </c>
      <c r="I11" s="34">
        <f t="shared" si="1"/>
        <v>130</v>
      </c>
      <c r="J11" s="111">
        <v>10</v>
      </c>
      <c r="K11" s="91" t="s">
        <v>59</v>
      </c>
    </row>
    <row r="12" spans="1:11" x14ac:dyDescent="0.25">
      <c r="A12" s="89" t="s">
        <v>60</v>
      </c>
      <c r="B12" s="52">
        <v>46190</v>
      </c>
      <c r="C12" s="22" t="str">
        <f>RIGHT(A12,2)</f>
        <v>IN</v>
      </c>
      <c r="D12" s="22" t="str">
        <f t="shared" si="0"/>
        <v>Laptop</v>
      </c>
      <c r="E12" s="22" t="s">
        <v>61</v>
      </c>
      <c r="F12" s="22" t="s">
        <v>62</v>
      </c>
      <c r="G12" s="24" t="s">
        <v>170</v>
      </c>
      <c r="H12" s="14">
        <v>950</v>
      </c>
      <c r="I12" s="34">
        <f t="shared" si="1"/>
        <v>950</v>
      </c>
      <c r="J12" s="110">
        <v>25</v>
      </c>
      <c r="K12" s="92" t="s">
        <v>28</v>
      </c>
    </row>
    <row r="13" spans="1:11" x14ac:dyDescent="0.25">
      <c r="A13" s="88" t="s">
        <v>63</v>
      </c>
      <c r="B13" s="52">
        <v>46351</v>
      </c>
      <c r="C13" s="22" t="str">
        <f>RIGHT(A13,2)</f>
        <v>AU</v>
      </c>
      <c r="D13" s="22" t="str">
        <f t="shared" si="0"/>
        <v>Sneakers</v>
      </c>
      <c r="E13" s="23" t="s">
        <v>30</v>
      </c>
      <c r="F13" s="23" t="s">
        <v>49</v>
      </c>
      <c r="G13" s="24" t="s">
        <v>171</v>
      </c>
      <c r="H13" s="15">
        <v>90</v>
      </c>
      <c r="I13" s="34">
        <f t="shared" si="1"/>
        <v>90</v>
      </c>
      <c r="J13" s="111">
        <v>40</v>
      </c>
      <c r="K13" s="91" t="s">
        <v>123</v>
      </c>
    </row>
    <row r="14" spans="1:11" x14ac:dyDescent="0.25">
      <c r="A14" s="89" t="s">
        <v>64</v>
      </c>
      <c r="B14" s="52">
        <v>46364</v>
      </c>
      <c r="C14" s="22" t="str">
        <f>RIGHT(A14,2)</f>
        <v>DE</v>
      </c>
      <c r="D14" s="22" t="str">
        <f t="shared" si="0"/>
        <v>Coffee Maker</v>
      </c>
      <c r="E14" s="22" t="s">
        <v>34</v>
      </c>
      <c r="F14" s="22" t="s">
        <v>65</v>
      </c>
      <c r="G14" s="24" t="s">
        <v>172</v>
      </c>
      <c r="H14" s="14">
        <v>120</v>
      </c>
      <c r="I14" s="34">
        <f t="shared" si="1"/>
        <v>120</v>
      </c>
      <c r="J14" s="110">
        <v>35</v>
      </c>
      <c r="K14" s="92" t="s">
        <v>123</v>
      </c>
    </row>
    <row r="15" spans="1:11" x14ac:dyDescent="0.25">
      <c r="A15" s="88" t="s">
        <v>66</v>
      </c>
      <c r="B15" s="52">
        <v>46071</v>
      </c>
      <c r="C15" s="22" t="str">
        <f>RIGHT(A15,2)</f>
        <v>CA</v>
      </c>
      <c r="D15" s="22" t="str">
        <f t="shared" si="0"/>
        <v>Smart Watch</v>
      </c>
      <c r="E15" s="23" t="s">
        <v>126</v>
      </c>
      <c r="F15" s="23" t="s">
        <v>68</v>
      </c>
      <c r="G15" s="24" t="s">
        <v>173</v>
      </c>
      <c r="H15" s="15">
        <v>150</v>
      </c>
      <c r="I15" s="34">
        <f t="shared" si="1"/>
        <v>150</v>
      </c>
      <c r="J15" s="111">
        <v>15</v>
      </c>
      <c r="K15" s="91" t="s">
        <v>28</v>
      </c>
    </row>
    <row r="16" spans="1:11" x14ac:dyDescent="0.25">
      <c r="A16" s="89" t="s">
        <v>69</v>
      </c>
      <c r="B16" s="52">
        <v>46128</v>
      </c>
      <c r="C16" s="22" t="str">
        <f>RIGHT(A16,2)</f>
        <v>ES</v>
      </c>
      <c r="D16" s="22" t="str">
        <f t="shared" si="0"/>
        <v>Head Phones</v>
      </c>
      <c r="E16" s="22" t="s">
        <v>125</v>
      </c>
      <c r="F16" s="22" t="s">
        <v>71</v>
      </c>
      <c r="G16" s="24" t="s">
        <v>174</v>
      </c>
      <c r="H16" s="14">
        <v>250</v>
      </c>
      <c r="I16" s="34">
        <f t="shared" si="1"/>
        <v>250</v>
      </c>
      <c r="J16" s="110">
        <v>20</v>
      </c>
      <c r="K16" s="92" t="s">
        <v>28</v>
      </c>
    </row>
    <row r="17" spans="1:11" x14ac:dyDescent="0.25">
      <c r="A17" s="88" t="s">
        <v>72</v>
      </c>
      <c r="B17" s="52">
        <v>46255</v>
      </c>
      <c r="C17" s="22" t="str">
        <f>RIGHT(A17,2)</f>
        <v>CA</v>
      </c>
      <c r="D17" s="22" t="str">
        <f t="shared" si="0"/>
        <v>Laptop Bag</v>
      </c>
      <c r="E17" s="23" t="s">
        <v>73</v>
      </c>
      <c r="F17" s="23" t="s">
        <v>74</v>
      </c>
      <c r="G17" s="24" t="s">
        <v>175</v>
      </c>
      <c r="H17" s="15">
        <v>50</v>
      </c>
      <c r="I17" s="34">
        <f t="shared" si="1"/>
        <v>50</v>
      </c>
      <c r="J17" s="111">
        <v>35</v>
      </c>
      <c r="K17" s="91" t="s">
        <v>75</v>
      </c>
    </row>
    <row r="18" spans="1:11" x14ac:dyDescent="0.25">
      <c r="A18" s="89" t="s">
        <v>76</v>
      </c>
      <c r="B18" s="52">
        <v>46254</v>
      </c>
      <c r="C18" s="22" t="str">
        <f>RIGHT(A18,2)</f>
        <v>CN</v>
      </c>
      <c r="D18" s="22" t="str">
        <f t="shared" si="0"/>
        <v>Smart Watch</v>
      </c>
      <c r="E18" s="22" t="s">
        <v>126</v>
      </c>
      <c r="F18" s="22" t="s">
        <v>77</v>
      </c>
      <c r="G18" s="24" t="s">
        <v>176</v>
      </c>
      <c r="H18" s="14">
        <v>160</v>
      </c>
      <c r="I18" s="34">
        <f t="shared" si="1"/>
        <v>160</v>
      </c>
      <c r="J18" s="110">
        <v>15</v>
      </c>
      <c r="K18" s="92" t="s">
        <v>28</v>
      </c>
    </row>
    <row r="19" spans="1:11" x14ac:dyDescent="0.25">
      <c r="A19" s="88" t="s">
        <v>78</v>
      </c>
      <c r="B19" s="52">
        <v>46049</v>
      </c>
      <c r="C19" s="22" t="str">
        <f>RIGHT(A19,2)</f>
        <v>IT</v>
      </c>
      <c r="D19" s="22" t="str">
        <f t="shared" si="0"/>
        <v>Laptop</v>
      </c>
      <c r="E19" s="23" t="s">
        <v>26</v>
      </c>
      <c r="F19" s="23" t="s">
        <v>79</v>
      </c>
      <c r="G19" s="24" t="s">
        <v>177</v>
      </c>
      <c r="H19" s="15">
        <v>980</v>
      </c>
      <c r="I19" s="34">
        <f t="shared" si="1"/>
        <v>980</v>
      </c>
      <c r="J19" s="111">
        <v>10</v>
      </c>
      <c r="K19" s="91" t="s">
        <v>28</v>
      </c>
    </row>
    <row r="20" spans="1:11" x14ac:dyDescent="0.25">
      <c r="A20" s="89" t="s">
        <v>80</v>
      </c>
      <c r="B20" s="52">
        <v>46082</v>
      </c>
      <c r="C20" s="22" t="str">
        <f>RIGHT(A20,2)</f>
        <v>UK</v>
      </c>
      <c r="D20" s="22" t="str">
        <f t="shared" si="0"/>
        <v>Sunglasses</v>
      </c>
      <c r="E20" s="22" t="s">
        <v>81</v>
      </c>
      <c r="F20" s="22" t="s">
        <v>82</v>
      </c>
      <c r="G20" s="24" t="s">
        <v>178</v>
      </c>
      <c r="H20" s="14">
        <v>150</v>
      </c>
      <c r="I20" s="34">
        <f t="shared" si="1"/>
        <v>150</v>
      </c>
      <c r="J20" s="110">
        <v>15</v>
      </c>
      <c r="K20" s="92" t="s">
        <v>32</v>
      </c>
    </row>
    <row r="21" spans="1:11" x14ac:dyDescent="0.25">
      <c r="A21" s="88" t="s">
        <v>83</v>
      </c>
      <c r="B21" s="52">
        <v>46248</v>
      </c>
      <c r="C21" s="22" t="str">
        <f>RIGHT(A21,2)</f>
        <v>US</v>
      </c>
      <c r="D21" s="22" t="str">
        <f t="shared" si="0"/>
        <v>Camping Tent</v>
      </c>
      <c r="E21" s="23" t="s">
        <v>84</v>
      </c>
      <c r="F21" s="23" t="s">
        <v>85</v>
      </c>
      <c r="G21" s="24" t="s">
        <v>179</v>
      </c>
      <c r="H21" s="15"/>
      <c r="I21" s="34">
        <f t="shared" si="1"/>
        <v>297.85714285714283</v>
      </c>
      <c r="J21" s="111">
        <v>10</v>
      </c>
      <c r="K21" s="91" t="s">
        <v>59</v>
      </c>
    </row>
    <row r="22" spans="1:11" x14ac:dyDescent="0.25">
      <c r="A22" s="89" t="s">
        <v>86</v>
      </c>
      <c r="B22" s="52">
        <v>46156</v>
      </c>
      <c r="C22" s="22" t="str">
        <f>RIGHT(A22,2)</f>
        <v>RU</v>
      </c>
      <c r="D22" s="22" t="str">
        <f t="shared" si="0"/>
        <v>Camera</v>
      </c>
      <c r="E22" s="22" t="s">
        <v>87</v>
      </c>
      <c r="F22" s="22" t="s">
        <v>88</v>
      </c>
      <c r="G22" s="24" t="s">
        <v>180</v>
      </c>
      <c r="H22" s="14">
        <v>700</v>
      </c>
      <c r="I22" s="34">
        <f t="shared" si="1"/>
        <v>700</v>
      </c>
      <c r="J22" s="110">
        <v>50</v>
      </c>
      <c r="K22" s="92" t="s">
        <v>28</v>
      </c>
    </row>
    <row r="23" spans="1:11" x14ac:dyDescent="0.25">
      <c r="A23" s="88" t="s">
        <v>89</v>
      </c>
      <c r="B23" s="52">
        <v>46031</v>
      </c>
      <c r="C23" s="22" t="str">
        <f>RIGHT(A23,2)</f>
        <v>CA</v>
      </c>
      <c r="D23" s="22" t="str">
        <f t="shared" si="0"/>
        <v>Microwave</v>
      </c>
      <c r="E23" s="23" t="s">
        <v>90</v>
      </c>
      <c r="F23" s="23" t="s">
        <v>91</v>
      </c>
      <c r="G23" s="24" t="s">
        <v>181</v>
      </c>
      <c r="H23" s="15">
        <v>80</v>
      </c>
      <c r="I23" s="34">
        <f t="shared" si="1"/>
        <v>80</v>
      </c>
      <c r="J23" s="111">
        <v>20</v>
      </c>
      <c r="K23" s="91" t="s">
        <v>36</v>
      </c>
    </row>
    <row r="24" spans="1:11" x14ac:dyDescent="0.25">
      <c r="A24" s="89" t="s">
        <v>92</v>
      </c>
      <c r="B24" s="52">
        <v>46222</v>
      </c>
      <c r="C24" s="22" t="str">
        <f>RIGHT(A24,2)</f>
        <v>BR</v>
      </c>
      <c r="D24" s="22" t="str">
        <f t="shared" si="0"/>
        <v>Fitness Tracker</v>
      </c>
      <c r="E24" s="22" t="s">
        <v>93</v>
      </c>
      <c r="F24" s="22" t="s">
        <v>94</v>
      </c>
      <c r="G24" s="24" t="s">
        <v>182</v>
      </c>
      <c r="H24" s="14">
        <v>150</v>
      </c>
      <c r="I24" s="34">
        <f t="shared" si="1"/>
        <v>150</v>
      </c>
      <c r="J24" s="110">
        <v>30</v>
      </c>
      <c r="K24" s="92" t="s">
        <v>123</v>
      </c>
    </row>
    <row r="25" spans="1:11" x14ac:dyDescent="0.25">
      <c r="A25" s="89" t="s">
        <v>95</v>
      </c>
      <c r="B25" s="52">
        <v>46294</v>
      </c>
      <c r="C25" s="22" t="str">
        <f>RIGHT(A25,2)</f>
        <v>CA</v>
      </c>
      <c r="D25" s="22" t="str">
        <f t="shared" si="0"/>
        <v>Smart Phone</v>
      </c>
      <c r="E25" s="22" t="s">
        <v>124</v>
      </c>
      <c r="F25" s="22" t="s">
        <v>97</v>
      </c>
      <c r="G25" s="24" t="s">
        <v>183</v>
      </c>
      <c r="H25" s="14">
        <v>800</v>
      </c>
      <c r="I25" s="34">
        <f t="shared" si="1"/>
        <v>800</v>
      </c>
      <c r="J25" s="110">
        <v>45</v>
      </c>
      <c r="K25" s="92" t="s">
        <v>28</v>
      </c>
    </row>
    <row r="26" spans="1:11" x14ac:dyDescent="0.25">
      <c r="A26" s="88" t="s">
        <v>98</v>
      </c>
      <c r="B26" s="52">
        <v>46176</v>
      </c>
      <c r="C26" s="22" t="str">
        <f>RIGHT(A26,2)</f>
        <v>CA</v>
      </c>
      <c r="D26" s="22" t="str">
        <f t="shared" si="0"/>
        <v>Sunglasses</v>
      </c>
      <c r="E26" s="23" t="s">
        <v>81</v>
      </c>
      <c r="F26" s="23" t="s">
        <v>99</v>
      </c>
      <c r="G26" s="24" t="s">
        <v>184</v>
      </c>
      <c r="H26" s="15"/>
      <c r="I26" s="34">
        <f t="shared" si="1"/>
        <v>297.85714285714283</v>
      </c>
      <c r="J26" s="111">
        <v>25</v>
      </c>
      <c r="K26" s="91" t="s">
        <v>32</v>
      </c>
    </row>
    <row r="27" spans="1:11" x14ac:dyDescent="0.25">
      <c r="A27" s="89" t="s">
        <v>100</v>
      </c>
      <c r="B27" s="52">
        <v>46214</v>
      </c>
      <c r="C27" s="22" t="str">
        <f>RIGHT(A27,2)</f>
        <v>CA</v>
      </c>
      <c r="D27" s="22" t="str">
        <f t="shared" si="0"/>
        <v>Blender</v>
      </c>
      <c r="E27" s="22" t="s">
        <v>51</v>
      </c>
      <c r="F27" s="22" t="s">
        <v>101</v>
      </c>
      <c r="G27" s="24" t="s">
        <v>185</v>
      </c>
      <c r="H27" s="14">
        <v>400</v>
      </c>
      <c r="I27" s="34">
        <f t="shared" si="1"/>
        <v>400</v>
      </c>
      <c r="J27" s="110">
        <v>40</v>
      </c>
      <c r="K27" s="92" t="s">
        <v>36</v>
      </c>
    </row>
    <row r="28" spans="1:11" x14ac:dyDescent="0.25">
      <c r="A28" s="89" t="s">
        <v>102</v>
      </c>
      <c r="B28" s="52">
        <v>46088</v>
      </c>
      <c r="C28" s="22" t="str">
        <f>RIGHT(A28,2)</f>
        <v>CA</v>
      </c>
      <c r="D28" s="22" t="str">
        <f t="shared" si="0"/>
        <v>Dress</v>
      </c>
      <c r="E28" s="22" t="s">
        <v>103</v>
      </c>
      <c r="F28" s="22" t="s">
        <v>104</v>
      </c>
      <c r="G28" s="24" t="s">
        <v>186</v>
      </c>
      <c r="H28" s="14">
        <v>60</v>
      </c>
      <c r="I28" s="34">
        <f t="shared" si="1"/>
        <v>60</v>
      </c>
      <c r="J28" s="110">
        <v>30</v>
      </c>
      <c r="K28" s="92" t="s">
        <v>32</v>
      </c>
    </row>
    <row r="29" spans="1:11" x14ac:dyDescent="0.25">
      <c r="A29" s="88" t="s">
        <v>105</v>
      </c>
      <c r="B29" s="52">
        <v>46125</v>
      </c>
      <c r="C29" s="22" t="str">
        <f>RIGHT(A29,2)</f>
        <v>CA</v>
      </c>
      <c r="D29" s="22" t="str">
        <f t="shared" si="0"/>
        <v>Toaster</v>
      </c>
      <c r="E29" s="23" t="s">
        <v>106</v>
      </c>
      <c r="F29" s="23" t="s">
        <v>107</v>
      </c>
      <c r="G29" s="24" t="s">
        <v>187</v>
      </c>
      <c r="H29" s="15">
        <v>40</v>
      </c>
      <c r="I29" s="34">
        <f t="shared" si="1"/>
        <v>40</v>
      </c>
      <c r="J29" s="111">
        <v>10</v>
      </c>
      <c r="K29" s="91" t="s">
        <v>36</v>
      </c>
    </row>
    <row r="30" spans="1:11" x14ac:dyDescent="0.25">
      <c r="A30" s="89" t="s">
        <v>108</v>
      </c>
      <c r="B30" s="52">
        <v>46166</v>
      </c>
      <c r="C30" s="22" t="str">
        <f>RIGHT(A30,2)</f>
        <v>CA</v>
      </c>
      <c r="D30" s="22" t="str">
        <f t="shared" si="0"/>
        <v>Fitness Tracker</v>
      </c>
      <c r="E30" s="22" t="s">
        <v>93</v>
      </c>
      <c r="F30" s="22" t="s">
        <v>109</v>
      </c>
      <c r="G30" s="24" t="s">
        <v>188</v>
      </c>
      <c r="H30" s="14">
        <v>130</v>
      </c>
      <c r="I30" s="34">
        <f t="shared" si="1"/>
        <v>130</v>
      </c>
      <c r="J30" s="110">
        <v>5</v>
      </c>
      <c r="K30" s="92" t="s">
        <v>28</v>
      </c>
    </row>
    <row r="31" spans="1:11" x14ac:dyDescent="0.25">
      <c r="A31" s="88" t="s">
        <v>110</v>
      </c>
      <c r="B31" s="52">
        <v>46358</v>
      </c>
      <c r="C31" s="22" t="str">
        <f>RIGHT(A31,2)</f>
        <v>CA</v>
      </c>
      <c r="D31" s="22" t="str">
        <f t="shared" si="0"/>
        <v>Jeans</v>
      </c>
      <c r="E31" s="23" t="s">
        <v>111</v>
      </c>
      <c r="F31" s="23" t="s">
        <v>112</v>
      </c>
      <c r="G31" s="24" t="s">
        <v>189</v>
      </c>
      <c r="H31" s="15">
        <v>50</v>
      </c>
      <c r="I31" s="34">
        <f t="shared" si="1"/>
        <v>50</v>
      </c>
      <c r="J31" s="111">
        <v>50</v>
      </c>
      <c r="K31" s="91" t="s">
        <v>32</v>
      </c>
    </row>
    <row r="32" spans="1:11" x14ac:dyDescent="0.25">
      <c r="A32" s="101" t="s">
        <v>113</v>
      </c>
      <c r="B32" s="102">
        <v>46212</v>
      </c>
      <c r="C32" s="103" t="str">
        <f>RIGHT(A32,2)</f>
        <v>FR</v>
      </c>
      <c r="D32" s="103" t="str">
        <f t="shared" si="0"/>
        <v>Watch</v>
      </c>
      <c r="E32" s="105" t="s">
        <v>114</v>
      </c>
      <c r="F32" s="105" t="s">
        <v>115</v>
      </c>
      <c r="G32" s="104" t="s">
        <v>190</v>
      </c>
      <c r="H32" s="106">
        <v>100</v>
      </c>
      <c r="I32" s="107">
        <f t="shared" si="1"/>
        <v>100</v>
      </c>
      <c r="J32" s="112">
        <v>20</v>
      </c>
      <c r="K32" s="108" t="s">
        <v>75</v>
      </c>
    </row>
  </sheetData>
  <phoneticPr fontId="15" type="noConversion"/>
  <conditionalFormatting sqref="H1:H32">
    <cfRule type="containsBlanks" dxfId="3" priority="3">
      <formula>LEN(TRIM(H1))=0</formula>
    </cfRule>
  </conditionalFormatting>
  <conditionalFormatting sqref="H2:H32">
    <cfRule type="containsBlanks" priority="4">
      <formula>LEN(TRIM(H2))=0</formula>
    </cfRule>
  </conditionalFormatting>
  <conditionalFormatting sqref="I1:I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{B8FD7CFE-CFEF-4396-94B7-63E7836CD3E0}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FD7CFE-CFEF-4396-94B7-63E7836CD3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I1:I32</xm:sqref>
        </x14:conditionalFormatting>
        <x14:conditionalFormatting xmlns:xm="http://schemas.microsoft.com/office/excel/2006/main">
          <x14:cfRule type="containsText" priority="1" operator="containsText" id="{EC90105F-9F4C-46E6-B6B9-C0E1D3C54A25}">
            <xm:f>NOT(ISERROR(SEARCH($K$2,K1)))</xm:f>
            <xm:f>$K$2</xm:f>
            <x14:dxf>
              <fill>
                <patternFill>
                  <bgColor rgb="FFFFFF00"/>
                </patternFill>
              </fill>
            </x14:dxf>
          </x14:cfRule>
          <xm:sqref>K1:K32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solution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jannathulroohe66@gmail.com</cp:lastModifiedBy>
  <dcterms:modified xsi:type="dcterms:W3CDTF">2026-09-22T19:35:00Z</dcterms:modified>
</cp:coreProperties>
</file>